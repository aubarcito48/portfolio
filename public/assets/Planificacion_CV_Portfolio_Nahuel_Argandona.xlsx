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a" sheetId="1" r:id="rId5"/>
    <sheet state="visible" name="Product Backlog" sheetId="2" r:id="rId6"/>
    <sheet state="visible" name="Sprint 1" sheetId="3" r:id="rId7"/>
    <sheet state="visible" name="INVEST" sheetId="4" r:id="rId8"/>
    <sheet state="visible" name="Trazabilidad" sheetId="5" r:id="rId9"/>
    <sheet state="visible" name="Gantt" sheetId="6" r:id="rId10"/>
    <sheet state="visible" name="TC Funcionales" sheetId="7" r:id="rId11"/>
    <sheet state="visible" name="TC Accesibilidad" sheetId="8" r:id="rId12"/>
    <sheet state="visible" name="TC Despliegue" sheetId="9" r:id="rId13"/>
  </sheets>
  <definedNames/>
  <calcPr/>
</workbook>
</file>

<file path=xl/sharedStrings.xml><?xml version="1.0" encoding="utf-8"?>
<sst xmlns="http://schemas.openxmlformats.org/spreadsheetml/2006/main" count="866" uniqueCount="347">
  <si>
    <t>CV y Portfolio Web — Nahuel Argandoña</t>
  </si>
  <si>
    <t>Uso: actualizar Sprint 1 y casos de prueba; Trazabilidad, Gantt y resumen se calculan desde esas hojas.</t>
  </si>
  <si>
    <t>Campo</t>
  </si>
  <si>
    <t>Valor</t>
  </si>
  <si>
    <t>Versión</t>
  </si>
  <si>
    <t>1.0 · 17/10/2026</t>
  </si>
  <si>
    <t>Alcance</t>
  </si>
  <si>
    <t>Sprint 1 estático; evolución dinámica pendiente de priorización.</t>
  </si>
  <si>
    <t>Fechas</t>
  </si>
  <si>
    <t>Sin calendario confirmado. Gantt usa días relativos propuestos; no son fechas comprometidas.</t>
  </si>
  <si>
    <t>Estimación</t>
  </si>
  <si>
    <t>XS/S/M/L/XL y duraciones iniciales propuestas para revisar según disponibilidad.</t>
  </si>
  <si>
    <t>Responsable</t>
  </si>
  <si>
    <t>Nahuel Argandoña</t>
  </si>
  <si>
    <t>Estados</t>
  </si>
  <si>
    <t>Actualizar solo con avance real. Terminado requiere pruebas y criterios cumplidos.</t>
  </si>
  <si>
    <t>Fuentes</t>
  </si>
  <si>
    <t>Wiki y DOCX del portfolio; prompt suministrado. PintaEbook se usa como referencia visual y de estructura.</t>
  </si>
  <si>
    <t>Tareas terminadas</t>
  </si>
  <si>
    <t>Avance del sprint</t>
  </si>
  <si>
    <t>Casos aprobados</t>
  </si>
  <si>
    <t>Casos ejecutados</t>
  </si>
  <si>
    <t>Pendientes de contenido</t>
  </si>
  <si>
    <t>Idioma, fotografía, captura PintaEbook, playlist y eventual correo público.</t>
  </si>
  <si>
    <t>Sitio publicado</t>
  </si>
  <si>
    <t>Repositorio</t>
  </si>
  <si>
    <t>https://github.com/aubarcito48/cv-proyecto</t>
  </si>
  <si>
    <t>Product Backlog — CV y Portfolio</t>
  </si>
  <si>
    <t>Historias HU01–HU11. Una condición principal por historia; los casos detallados están en las hojas TC.</t>
  </si>
  <si>
    <t>Épica</t>
  </si>
  <si>
    <t>ID historia</t>
  </si>
  <si>
    <t>Rol</t>
  </si>
  <si>
    <t>Característica / Funcionalidad</t>
  </si>
  <si>
    <t>Razón / Resultado</t>
  </si>
  <si>
    <t>Criterio de aceptación</t>
  </si>
  <si>
    <t>Escenario</t>
  </si>
  <si>
    <t>Dado que</t>
  </si>
  <si>
    <t>Cuando</t>
  </si>
  <si>
    <t>Entonces</t>
  </si>
  <si>
    <t>Prioridad</t>
  </si>
  <si>
    <t>Etapa</t>
  </si>
  <si>
    <t>Requisitos</t>
  </si>
  <si>
    <t>Estado</t>
  </si>
  <si>
    <t>Perfil</t>
  </si>
  <si>
    <t>HU01</t>
  </si>
  <si>
    <t>Como reclutador</t>
  </si>
  <si>
    <t>Quiero conocer el perfil y especialidad</t>
  </si>
  <si>
    <t>Para evaluar afinidad con una búsqueda</t>
  </si>
  <si>
    <t>Presentación y foto correctas</t>
  </si>
  <si>
    <t>El sitio está disponible</t>
  </si>
  <si>
    <t>Conocer el perfil y especialidad</t>
  </si>
  <si>
    <t>Alta</t>
  </si>
  <si>
    <t>S1</t>
  </si>
  <si>
    <t>RF01, RF06</t>
  </si>
  <si>
    <t>Terminado</t>
  </si>
  <si>
    <t>Navegación</t>
  </si>
  <si>
    <t>HU02</t>
  </si>
  <si>
    <t>Como visitante</t>
  </si>
  <si>
    <t>Quiero navegar desde cualquier dispositivo</t>
  </si>
  <si>
    <t>Para consultar contenido con facilidad</t>
  </si>
  <si>
    <t>Enlaces y menú móvil utilizables</t>
  </si>
  <si>
    <t>Navegar desde cualquier dispositivo</t>
  </si>
  <si>
    <t>RF02, RF03</t>
  </si>
  <si>
    <t>Apariencia</t>
  </si>
  <si>
    <t>HU03</t>
  </si>
  <si>
    <t>Quiero elegir tema claro u oscuro</t>
  </si>
  <si>
    <t>Para leer con comodidad</t>
  </si>
  <si>
    <t>Tema funciona y persiste cuando es posible</t>
  </si>
  <si>
    <t>Elegir tema claro u oscuro</t>
  </si>
  <si>
    <t>Media</t>
  </si>
  <si>
    <t>RF04</t>
  </si>
  <si>
    <t>Trayectoria</t>
  </si>
  <si>
    <t>HU04</t>
  </si>
  <si>
    <t>Quiero consultar experiencia y formación</t>
  </si>
  <si>
    <t>Para conocer la trayectoria</t>
  </si>
  <si>
    <t>Fechas, estudios en curso y título intermedio correctos</t>
  </si>
  <si>
    <t>Consultar experiencia y formación</t>
  </si>
  <si>
    <t>RF07, RF08</t>
  </si>
  <si>
    <t>Proyectos</t>
  </si>
  <si>
    <t>HU05</t>
  </si>
  <si>
    <t>Como equipo técnico</t>
  </si>
  <si>
    <t>Quiero acceder a proyectos y repositorios</t>
  </si>
  <si>
    <t>Para revisar ejemplos de trabajo</t>
  </si>
  <si>
    <t>PintaEbook muestra imagen, descripción, demo y repositorios</t>
  </si>
  <si>
    <t>Acceder a proyectos y repositorios</t>
  </si>
  <si>
    <t>RF09</t>
  </si>
  <si>
    <t>Contacto</t>
  </si>
  <si>
    <t>HU06</t>
  </si>
  <si>
    <t>Quiero acceder a perfiles profesionales</t>
  </si>
  <si>
    <t>Para establecer contacto</t>
  </si>
  <si>
    <t>GitHub y LinkedIn apuntan a los perfiles suministrados</t>
  </si>
  <si>
    <t>Acceder a perfiles profesionales</t>
  </si>
  <si>
    <t>RF10</t>
  </si>
  <si>
    <t>Presentación</t>
  </si>
  <si>
    <t>HU07</t>
  </si>
  <si>
    <t>Quiero recorrer un carrusel</t>
  </si>
  <si>
    <t>Para conocer áreas destacadas</t>
  </si>
  <si>
    <t>Tres diapositivas con controles, indicadores y teclado</t>
  </si>
  <si>
    <t>Recorrer un carrusel</t>
  </si>
  <si>
    <t>RF05</t>
  </si>
  <si>
    <t>Música</t>
  </si>
  <si>
    <t>HU08</t>
  </si>
  <si>
    <t>Quiero reproducir música opcionalmente</t>
  </si>
  <si>
    <t>Para escuchar mientras exploro</t>
  </si>
  <si>
    <t>Playlist confirmada; reproductor adaptable sin autoplay</t>
  </si>
  <si>
    <t>Reproducir música opcionalmente</t>
  </si>
  <si>
    <t>Baja</t>
  </si>
  <si>
    <t>S1 condicionado</t>
  </si>
  <si>
    <t>RF11</t>
  </si>
  <si>
    <t>HU09</t>
  </si>
  <si>
    <t>Quiero volver rápidamente al inicio</t>
  </si>
  <si>
    <t>Para continuar la navegación</t>
  </si>
  <si>
    <t>Botón aparece al bajar y respeta movimiento reducido</t>
  </si>
  <si>
    <t>Volver rápidamente al inicio</t>
  </si>
  <si>
    <t>RF12</t>
  </si>
  <si>
    <t>Administración</t>
  </si>
  <si>
    <t>HU10</t>
  </si>
  <si>
    <t>Como titular</t>
  </si>
  <si>
    <t>Quiero administrar contenido sin editar código</t>
  </si>
  <si>
    <t>Para actualizar información</t>
  </si>
  <si>
    <t>Definir fuente de datos, permisos y operaciones antes de estimar</t>
  </si>
  <si>
    <t>Se refina la próxima etapa</t>
  </si>
  <si>
    <t>Administrar contenido sin editar código</t>
  </si>
  <si>
    <t>Por definir</t>
  </si>
  <si>
    <t>Futuro</t>
  </si>
  <si>
    <t>RF14</t>
  </si>
  <si>
    <t>HU11</t>
  </si>
  <si>
    <t>Como potencial cliente</t>
  </si>
  <si>
    <t>Quiero enviar una consulta desde el sitio</t>
  </si>
  <si>
    <t>Para iniciar una conversación</t>
  </si>
  <si>
    <t>Definir servicio de envío y validaciones antes de estimar</t>
  </si>
  <si>
    <t>Enviar una consulta desde el sitio</t>
  </si>
  <si>
    <t>RF15</t>
  </si>
  <si>
    <t>Sprint Backlog — Primera versión estática</t>
  </si>
  <si>
    <t>Plan inicial sujeto a revisión. Inicio y duración se expresan en días relativos propuestos. RF11 depende de la playlist.</t>
  </si>
  <si>
    <t>Historia</t>
  </si>
  <si>
    <t>ID tarea</t>
  </si>
  <si>
    <t>Tarea</t>
  </si>
  <si>
    <t>Criterios de aceptación</t>
  </si>
  <si>
    <t>Tamaño</t>
  </si>
  <si>
    <t>Dependencias</t>
  </si>
  <si>
    <t>Inicio relativo</t>
  </si>
  <si>
    <t>Duración propuesta</t>
  </si>
  <si>
    <t>Caso de prueba</t>
  </si>
  <si>
    <t>Evidencia / Notas</t>
  </si>
  <si>
    <t>Transversal</t>
  </si>
  <si>
    <t>TK01</t>
  </si>
  <si>
    <t>Configurar Angular y build</t>
  </si>
  <si>
    <t>Validar configuración técnica y documentar ejecución</t>
  </si>
  <si>
    <t>RNF06, RNF09</t>
  </si>
  <si>
    <t>M</t>
  </si>
  <si>
    <t>CP12</t>
  </si>
  <si>
    <t>TK02</t>
  </si>
  <si>
    <t>Crear inicio y biografía</t>
  </si>
  <si>
    <t>Mostrar datos suministrados, foto sin deformación y tecnologías agrupadas</t>
  </si>
  <si>
    <t>CP01</t>
  </si>
  <si>
    <t>TK03</t>
  </si>
  <si>
    <t>Implementar navegación y menú móvil</t>
  </si>
  <si>
    <t>Enlaces visibles, anclas sin obstrucción y menú operable por teclado</t>
  </si>
  <si>
    <t>CP02, CP03</t>
  </si>
  <si>
    <t>TK04</t>
  </si>
  <si>
    <t>Implementar temas</t>
  </si>
  <si>
    <t>Tema inicial coherente y persistencia cuando el almacenamiento esté disponible</t>
  </si>
  <si>
    <t>CP04</t>
  </si>
  <si>
    <t>TK05</t>
  </si>
  <si>
    <t>Cargar experiencia y formación</t>
  </si>
  <si>
    <t>Datos validados; diferenciar título intermedio y tecnicatura en curso</t>
  </si>
  <si>
    <t>S</t>
  </si>
  <si>
    <t>CP06</t>
  </si>
  <si>
    <t>TK06</t>
  </si>
  <si>
    <t>Presentar PintaEbook</t>
  </si>
  <si>
    <t>Imagen, tecnologías y tres enlaces correctos; estructura reutilizable</t>
  </si>
  <si>
    <t>CP07</t>
  </si>
  <si>
    <t>TK07</t>
  </si>
  <si>
    <t>Crear contacto y pie de página</t>
  </si>
  <si>
    <t>Perfiles correctos y año vigente; correo solo si se confirma</t>
  </si>
  <si>
    <t>RF10, RF13</t>
  </si>
  <si>
    <t>CP07, CP12</t>
  </si>
  <si>
    <t>TK08</t>
  </si>
  <si>
    <t>Implementar carrusel</t>
  </si>
  <si>
    <t>Tres diapositivas; controles, indicadores y teclado; sin autoplay forzado</t>
  </si>
  <si>
    <t>CP05</t>
  </si>
  <si>
    <t>TK09</t>
  </si>
  <si>
    <t>Configurar Spotify</t>
  </si>
  <si>
    <t>Confirmar playlist antes de publicar; sin autoplay ni OAuth</t>
  </si>
  <si>
    <t>CP08</t>
  </si>
  <si>
    <t>Pendiente de confirmar playlist</t>
  </si>
  <si>
    <t>TK10</t>
  </si>
  <si>
    <t>Crear botón volver al inicio</t>
  </si>
  <si>
    <t>Visible al desplazarse y utilizable con movimiento reducido</t>
  </si>
  <si>
    <t>CP09</t>
  </si>
  <si>
    <t>TK11</t>
  </si>
  <si>
    <t>Revisar responsive y accesibilidad</t>
  </si>
  <si>
    <t>Probar 360/768/1440 px, teclado, foco y contraste en ambos temas</t>
  </si>
  <si>
    <t>RNF01, RNF02, RNF03, RNF04, RNF08</t>
  </si>
  <si>
    <t>TK02–TK10</t>
  </si>
  <si>
    <t>CP10, CP11</t>
  </si>
  <si>
    <t>TK12</t>
  </si>
  <si>
    <t>Optimizar recursos y metadatos</t>
  </si>
  <si>
    <t>Revisar imágenes, estabilidad visual, Lighthouse y metadatos</t>
  </si>
  <si>
    <t>RNF05, RNF07</t>
  </si>
  <si>
    <t>TK13</t>
  </si>
  <si>
    <t>Ejecutar pruebas y corregir defectos</t>
  </si>
  <si>
    <t>Registrar resultados reales y evidencias; repetir casos afectados</t>
  </si>
  <si>
    <t>RNF10</t>
  </si>
  <si>
    <t>TK11, TK12</t>
  </si>
  <si>
    <t>CP01–CP12</t>
  </si>
  <si>
    <t>TK14</t>
  </si>
  <si>
    <t>Publicar en Vercel y revisar</t>
  </si>
  <si>
    <t>Build exitoso y URL pública verificada; documentar configuración real</t>
  </si>
  <si>
    <t>RNF09</t>
  </si>
  <si>
    <t>Revisión INVEST — Historias de usuario</t>
  </si>
  <si>
    <t>Revisión inicial pendiente. Seleccionar Sí o No por criterio; no se asume cumplimiento sin revisión.</t>
  </si>
  <si>
    <t>Independiente</t>
  </si>
  <si>
    <t>Negociable</t>
  </si>
  <si>
    <t>Valiosa</t>
  </si>
  <si>
    <t>Estimable</t>
  </si>
  <si>
    <t>Pequeña</t>
  </si>
  <si>
    <t>Testeable</t>
  </si>
  <si>
    <t>Resultado</t>
  </si>
  <si>
    <t>Observaciones</t>
  </si>
  <si>
    <t>Sí</t>
  </si>
  <si>
    <t>Revisar criterios y dependencias antes de seleccionar</t>
  </si>
  <si>
    <t>Confirmar playlist antes de comprometer</t>
  </si>
  <si>
    <t>Refinar alcance antes de estimar</t>
  </si>
  <si>
    <t>Matriz de trazabilidad — Requisitos a evidencias</t>
  </si>
  <si>
    <t>Los estados y evidencias se vinculan al Sprint Backlog. Las pruebas se consultan por su ID en las hojas TC.</t>
  </si>
  <si>
    <t>Requisito</t>
  </si>
  <si>
    <t>Estado tarea</t>
  </si>
  <si>
    <t>Evidencia / Observación</t>
  </si>
  <si>
    <t>RNF06</t>
  </si>
  <si>
    <t>Completado</t>
  </si>
  <si>
    <t>RF01</t>
  </si>
  <si>
    <t>RF06</t>
  </si>
  <si>
    <t>RF02</t>
  </si>
  <si>
    <t>RF03</t>
  </si>
  <si>
    <t>RF07</t>
  </si>
  <si>
    <t>RF08</t>
  </si>
  <si>
    <t>RF13</t>
  </si>
  <si>
    <t>RNF01</t>
  </si>
  <si>
    <t>RNF02</t>
  </si>
  <si>
    <t>RNF03</t>
  </si>
  <si>
    <t>RNF04</t>
  </si>
  <si>
    <t>RNF08</t>
  </si>
  <si>
    <t>RNF05</t>
  </si>
  <si>
    <t>RNF07</t>
  </si>
  <si>
    <t>Etapa posterior</t>
  </si>
  <si>
    <t>Diagrama de Gantt — Sprint 1</t>
  </si>
  <si>
    <t>Secuencia propuesta de 14 días relativos. No representa fechas acordadas; modificar inicio/duración en Sprint 1.</t>
  </si>
  <si>
    <t>ID</t>
  </si>
  <si>
    <t>Duración</t>
  </si>
  <si>
    <t>Fin relativo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</si>
  <si>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</si>
  <si>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</si>
  <si>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</si>
  <si>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</si>
  <si>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</si>
  <si>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</si>
  <si>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</si>
  <si>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</si>
  <si>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</si>
  <si>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</si>
  <si>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</si>
  <si>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</si>
  <si>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</si>
  <si>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</si>
  <si>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Casos de prueba — Funcionales</t>
  </si>
  <si>
    <t>Estado inicial NOT RUN. Completar fecha, entorno, resultado real y evidencia al ejecutar; PASS exige cumplir el resultado esperado.</t>
  </si>
  <si>
    <t>Título</t>
  </si>
  <si>
    <t>Precondiciones</t>
  </si>
  <si>
    <t>Datos de prueba</t>
  </si>
  <si>
    <t>Pasos</t>
  </si>
  <si>
    <t>Resultado esperado</t>
  </si>
  <si>
    <t>Etiquetas</t>
  </si>
  <si>
    <t>Evidencia</t>
  </si>
  <si>
    <t>Diseñado por</t>
  </si>
  <si>
    <t>Fecha ejecución</t>
  </si>
  <si>
    <t>Entorno / Resultado real</t>
  </si>
  <si>
    <t>Sitio disponible; foto suministrada</t>
  </si>
  <si>
    <t>Datos del perfil y configuración del sitio</t>
  </si>
  <si>
    <t>Abrir inicio y Sobre mí; comparar datos y observar foto</t>
  </si>
  <si>
    <t>Nombre, biografía y tecnologías correctos; imagen sin deformación</t>
  </si>
  <si>
    <t>PASS</t>
  </si>
  <si>
    <t>Funcional</t>
  </si>
  <si>
    <t>CP02</t>
  </si>
  <si>
    <t>Enlaces internos</t>
  </si>
  <si>
    <t>Secciones cargadas</t>
  </si>
  <si>
    <t>Activar cada enlace de navegación en escritorio y móvil</t>
  </si>
  <si>
    <t>Destino correcto; título no oculto por barra fija</t>
  </si>
  <si>
    <t>CP03</t>
  </si>
  <si>
    <t>Menú móvil</t>
  </si>
  <si>
    <t>Viewport móvil</t>
  </si>
  <si>
    <t>Abrir menú; recorrer con teclado; activar enlace; cerrar</t>
  </si>
  <si>
    <t>Controles accesibles, foco visible y menú operable</t>
  </si>
  <si>
    <t>Funcional / Accesibilidad</t>
  </si>
  <si>
    <t>Tema y persistencia</t>
  </si>
  <si>
    <t>Almacenamiento habilitado y luego restringido</t>
  </si>
  <si>
    <t>Alternar tema; recargar; repetir con almacenamiento restringido</t>
  </si>
  <si>
    <t>Preferencia conservada cuando es posible; sitio utilizable si no lo es</t>
  </si>
  <si>
    <t>Carrusel</t>
  </si>
  <si>
    <t>Tres diapositivas disponibles</t>
  </si>
  <si>
    <t>Usar anterior, siguiente, indicadores y teclado</t>
  </si>
  <si>
    <t>Contenido recorrible, indicador activo y sin avance forzado rápido</t>
  </si>
  <si>
    <t>Datos originales disponibles</t>
  </si>
  <si>
    <t>Comparar roles, organizaciones, fechas y títulos con prompt</t>
  </si>
  <si>
    <t>Sin datos inventados; tecnicatura en curso y título intermedio diferenciados</t>
  </si>
  <si>
    <t>Contenido</t>
  </si>
  <si>
    <t>Enlaces externos</t>
  </si>
  <si>
    <t>RF09, RF10</t>
  </si>
  <si>
    <t>HU05, HU06</t>
  </si>
  <si>
    <t>TK06, TK07</t>
  </si>
  <si>
    <t>Acceso a internet</t>
  </si>
  <si>
    <t>Abrir demo, dos repositorios, GitHub y LinkedIn</t>
  </si>
  <si>
    <t>Destinos previstos; enlaces descriptivos y atributos adecuados</t>
  </si>
  <si>
    <t>Spotify</t>
  </si>
  <si>
    <t>Playlist confirmada; servicio externo disponible</t>
  </si>
  <si>
    <t>Abrir sección; comprobar ausencia de autoplay; iniciar y pausar</t>
  </si>
  <si>
    <t>Reproductor adaptable y reproducción voluntaria</t>
  </si>
  <si>
    <t>Integración externa</t>
  </si>
  <si>
    <t>Volver al inicio</t>
  </si>
  <si>
    <t>Página con desplazamiento</t>
  </si>
  <si>
    <t>Bajar; activar botón; repetir con movimiento reducido</t>
  </si>
  <si>
    <t>Control visible al bajar y retorno correcto sin movimiento excesivo</t>
  </si>
  <si>
    <t>Casos de prueba — Accesibilidad</t>
  </si>
  <si>
    <t>CP10</t>
  </si>
  <si>
    <t>Diseño responsive</t>
  </si>
  <si>
    <t>Navegador con herramientas responsive</t>
  </si>
  <si>
    <t>360 / 768 / 1440 px</t>
  </si>
  <si>
    <t>Revisar sitio en 360, 768 y 1440 px; recorrer secciones</t>
  </si>
  <si>
    <t>Sin desbordamiento horizontal ni controles superpuestos</t>
  </si>
  <si>
    <t>Responsive</t>
  </si>
  <si>
    <t>CP11</t>
  </si>
  <si>
    <t>Teclado y contraste</t>
  </si>
  <si>
    <t>RNF02, RNF03, RNF04, RNF08</t>
  </si>
  <si>
    <t>HU02, HU03, HU07</t>
  </si>
  <si>
    <t>Ambos temas disponibles</t>
  </si>
  <si>
    <t>Recorrer con Tab/Enter/Espacio; revisar foco, contraste y movimiento reducido; registrar navegador</t>
  </si>
  <si>
    <t>Controles utilizables, contenido legible y preferencias respetadas</t>
  </si>
  <si>
    <t>Accesibilidad</t>
  </si>
  <si>
    <t>Casos de prueba — Despliegue</t>
  </si>
  <si>
    <t>Build y publicación</t>
  </si>
  <si>
    <t>RF13, RNF05, RNF06, RNF07, RNF09, RNF10</t>
  </si>
  <si>
    <t>TK01, TK07, TK12, TK13, TK14</t>
  </si>
  <si>
    <t>Configuración real y contenido validados</t>
  </si>
  <si>
    <t>Ejecutar build; publicar; revisar carga directa, recursos, año, metadatos y Lighthouse; registrar URL e informe</t>
  </si>
  <si>
    <t>Build exitoso, sitio disponible y datos correctos; métricas registradas sin resultados supuestos</t>
  </si>
  <si>
    <t>Despliegue / Calidad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</si>
</sst>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;;;"/>
    <numFmt numFmtId="165" formatCode="dd/mm/yyyy"/>
  </numFmts>
  <fonts count="6">
    <font>
      <sz val="11.0"/>
      <color rgb="FF000000"/>
      <name val="Carlito"/>
      <scheme val="minor"/>
    </font>
    <font>
      <b/>
      <sz val="14.0"/>
      <color rgb="FFFFFFFF"/>
      <name val="Arial"/>
    </font>
    <font/>
    <font>
      <sz val="10.0"/>
      <color rgb="FF434343"/>
      <name val="Arial"/>
    </font>
    <font>
      <b/>
      <sz val="10.0"/>
      <color rgb="FFFFFFFF"/>
      <name val="Arial"/>
    </font>
    <font>
      <sz val="10.0"/>
      <color rgb="FF1F1F1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9DAF8"/>
        <bgColor rgb="FFC9DAF8"/>
      </patternFill>
    </fill>
    <fill>
      <patternFill patternType="solid">
        <fgColor rgb="FF2E4A8A"/>
        <bgColor rgb="FF2E4A8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/>
    <border>
      <left/>
      <top/>
      <bottom/>
    </border>
    <border>
      <right/>
      <top/>
      <bottom/>
    </border>
    <border>
      <left/>
      <right style="thin">
        <color rgb="FFFFFFFF"/>
      </right>
      <top/>
      <bottom/>
    </border>
    <border>
      <left style="thin">
        <color rgb="FFFFFFFF"/>
      </left>
      <right/>
      <top/>
      <bottom/>
    </border>
    <border>
      <left/>
      <right/>
      <top/>
      <bottom style="thin">
        <color rgb="FFD9E2F3"/>
      </bottom>
    </border>
    <border>
      <top/>
      <bottom/>
    </border>
    <border>
      <left style="thin">
        <color rgb="FFFFFFFF"/>
      </left>
      <right style="thin">
        <color rgb="FFFFFFFF"/>
      </right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1" fillId="3" fontId="3" numFmtId="0" xfId="0" applyAlignment="1" applyBorder="1" applyFill="1" applyFont="1">
      <alignment shrinkToFit="0" wrapText="1"/>
    </xf>
    <xf borderId="3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shrinkToFit="0" vertical="center" wrapText="1"/>
    </xf>
    <xf borderId="5" fillId="6" fontId="5" numFmtId="0" xfId="0" applyAlignment="1" applyBorder="1" applyFill="1" applyFont="1">
      <alignment shrinkToFit="0" vertical="center" wrapText="1"/>
    </xf>
    <xf borderId="5" fillId="5" fontId="5" numFmtId="9" xfId="0" applyAlignment="1" applyBorder="1" applyFill="1" applyFont="1" applyNumberFormat="1">
      <alignment shrinkToFit="0" vertical="center" wrapText="1"/>
    </xf>
    <xf borderId="5" fillId="7" fontId="5" numFmtId="0" xfId="0" applyAlignment="1" applyBorder="1" applyFill="1" applyFont="1">
      <alignment shrinkToFit="0" vertical="center" wrapText="1"/>
    </xf>
    <xf borderId="6" fillId="0" fontId="2" numFmtId="0" xfId="0" applyBorder="1" applyFont="1"/>
    <xf borderId="7" fillId="4" fontId="4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readingOrder="0" shrinkToFit="0" vertical="center" wrapText="1"/>
    </xf>
    <xf borderId="5" fillId="6" fontId="5" numFmtId="0" xfId="0" applyAlignment="1" applyBorder="1" applyFill="1" applyFont="1">
      <alignment readingOrder="0" shrinkToFit="0" vertical="center" wrapText="1"/>
    </xf>
    <xf borderId="5" fillId="5" fontId="5" numFmtId="1" xfId="0" applyAlignment="1" applyBorder="1" applyFill="1" applyFont="1" applyNumberFormat="1">
      <alignment shrinkToFit="0" vertical="center" wrapText="1"/>
    </xf>
    <xf borderId="5" fillId="6" fontId="5" numFmtId="1" xfId="0" applyAlignment="1" applyBorder="1" applyFill="1" applyFont="1" applyNumberFormat="1">
      <alignment shrinkToFit="0" vertical="center" wrapText="1"/>
    </xf>
    <xf borderId="5" fillId="5" fontId="5" numFmtId="164" xfId="0" applyAlignment="1" applyBorder="1" applyFill="1" applyFont="1" applyNumberFormat="1">
      <alignment shrinkToFit="0" vertical="center" wrapText="1"/>
    </xf>
    <xf borderId="5" fillId="6" fontId="5" numFmtId="164" xfId="0" applyAlignment="1" applyBorder="1" applyFill="1" applyFont="1" applyNumberFormat="1">
      <alignment shrinkToFit="0" vertical="center" wrapText="1"/>
    </xf>
    <xf borderId="5" fillId="5" fontId="5" numFmtId="165" xfId="0" applyAlignment="1" applyBorder="1" applyFill="1" applyFont="1" applyNumberFormat="1">
      <alignment shrinkToFit="0" vertical="center" wrapText="1"/>
    </xf>
    <xf borderId="5" fillId="6" fontId="5" numFmtId="165" xfId="0" applyAlignment="1" applyBorder="1" applyFill="1" applyFont="1" applyNumberForma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6E4F7"/>
          <bgColor rgb="FFD6E4F7"/>
        </patternFill>
      </fill>
      <border/>
    </dxf>
    <dxf>
      <font>
        <color rgb="FF2E4A8A"/>
      </font>
      <fill>
        <patternFill patternType="solid">
          <fgColor rgb="FFD6E4F7"/>
          <bgColor rgb="FFD6E4F7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2E4A8A"/>
          <bgColor rgb="FF2E4A8A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7.0"/>
    <col customWidth="1" min="2" max="2" width="100.0"/>
    <col customWidth="1" min="3" max="26" width="8.63"/>
  </cols>
  <sheetData>
    <row r="1" ht="30.0" customHeight="1">
      <c r="A1" s="1" t="s">
        <v>0</v>
      </c>
      <c r="B1" s="2"/>
    </row>
    <row r="2" ht="33.75" customHeight="1">
      <c r="A2" s="3" t="s">
        <v>1</v>
      </c>
      <c r="B2" s="2"/>
    </row>
    <row r="3" ht="42.0" customHeight="1">
      <c r="A3" s="4" t="s">
        <v>2</v>
      </c>
      <c r="B3" s="5" t="s">
        <v>3</v>
      </c>
    </row>
    <row r="4" ht="42.0" customHeight="1">
      <c r="A4" s="6" t="s">
        <v>4</v>
      </c>
      <c r="B4" s="6" t="s">
        <v>5</v>
      </c>
    </row>
    <row r="5" ht="42.0" customHeight="1">
      <c r="A5" s="7" t="s">
        <v>6</v>
      </c>
      <c r="B5" s="7" t="s">
        <v>7</v>
      </c>
    </row>
    <row r="6" ht="42.0" customHeight="1">
      <c r="A6" s="6" t="s">
        <v>8</v>
      </c>
      <c r="B6" s="6" t="s">
        <v>9</v>
      </c>
    </row>
    <row r="7" ht="42.0" customHeight="1">
      <c r="A7" s="7" t="s">
        <v>10</v>
      </c>
      <c r="B7" s="7" t="s">
        <v>11</v>
      </c>
    </row>
    <row r="8" ht="42.0" customHeight="1">
      <c r="A8" s="6" t="s">
        <v>12</v>
      </c>
      <c r="B8" s="6" t="s">
        <v>13</v>
      </c>
    </row>
    <row r="9" ht="42.0" customHeight="1">
      <c r="A9" s="7" t="s">
        <v>14</v>
      </c>
      <c r="B9" s="7" t="s">
        <v>15</v>
      </c>
    </row>
    <row r="10" ht="42.0" customHeight="1">
      <c r="A10" s="6" t="s">
        <v>16</v>
      </c>
      <c r="B10" s="6" t="s">
        <v>17</v>
      </c>
    </row>
    <row r="11" ht="42.0" customHeight="1">
      <c r="A11" s="7" t="s">
        <v>18</v>
      </c>
      <c r="B11" s="7">
        <f>COUNTIF('Sprint 1'!G4:G17,"Terminado")</f>
        <v>14</v>
      </c>
    </row>
    <row r="12" ht="42.0" customHeight="1">
      <c r="A12" s="6" t="s">
        <v>19</v>
      </c>
      <c r="B12" s="8">
        <f>B11/COUNTA('Sprint 1'!B4:B17)</f>
        <v>1</v>
      </c>
    </row>
    <row r="13" ht="42.0" customHeight="1">
      <c r="A13" s="7" t="s">
        <v>20</v>
      </c>
      <c r="B13" s="7">
        <f>COUNTIF('TC Funcionales'!J4:J12,"PASS")+COUNTIF('TC Accesibilidad'!J4:J5,"PASS")+COUNTIF('TC Despliegue'!J4,"PASS")</f>
        <v>12</v>
      </c>
    </row>
    <row r="14" ht="42.0" customHeight="1">
      <c r="A14" s="6" t="s">
        <v>21</v>
      </c>
      <c r="B14" s="6">
        <f>COUNTIF('TC Funcionales'!J4:J12,"PASS")+COUNTIF('TC Funcionales'!J4:J12,"FAIL")+COUNTIF('TC Accesibilidad'!J4:J5,"PASS")+COUNTIF('TC Accesibilidad'!J4:J5,"FAIL")+COUNTIF('TC Despliegue'!J4,"PASS")+COUNTIF('TC Despliegue'!J4,"FAIL")</f>
        <v>12</v>
      </c>
    </row>
    <row r="15" ht="42.0" customHeight="1">
      <c r="A15" s="7" t="s">
        <v>22</v>
      </c>
      <c r="B15" s="7" t="s">
        <v>23</v>
      </c>
    </row>
    <row r="16" ht="42.0" customHeight="1">
      <c r="A16" s="6" t="s">
        <v>24</v>
      </c>
      <c r="B16" s="9"/>
    </row>
    <row r="17" ht="42.0" customHeight="1">
      <c r="A17" s="7" t="s">
        <v>25</v>
      </c>
      <c r="B17" s="7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0"/>
    <col customWidth="1" min="2" max="2" width="14.0"/>
    <col customWidth="1" min="3" max="3" width="22.0"/>
    <col customWidth="1" min="4" max="4" width="45.0"/>
    <col customWidth="1" min="5" max="5" width="38.0"/>
    <col customWidth="1" min="6" max="6" width="55.0"/>
    <col customWidth="1" min="7" max="7" width="12.0"/>
    <col customWidth="1" min="8" max="8" width="30.0"/>
    <col customWidth="1" min="9" max="9" width="36.0"/>
    <col customWidth="1" min="10" max="10" width="55.0"/>
    <col customWidth="1" min="11" max="11" width="16.0"/>
    <col customWidth="1" min="12" max="12" width="21.0"/>
    <col customWidth="1" min="13" max="13" width="22.0"/>
    <col customWidth="1" min="14" max="14" width="18.0"/>
    <col customWidth="1" min="15" max="26" width="8.63"/>
  </cols>
  <sheetData>
    <row r="1" ht="30.0" customHeight="1">
      <c r="A1" s="1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"/>
    </row>
    <row r="2" ht="33.75" customHeight="1">
      <c r="A2" s="3" t="s">
        <v>28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"/>
    </row>
    <row r="3" ht="42.0" customHeight="1">
      <c r="A3" s="4" t="s">
        <v>29</v>
      </c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  <c r="K3" s="11" t="s">
        <v>39</v>
      </c>
      <c r="L3" s="11" t="s">
        <v>40</v>
      </c>
      <c r="M3" s="11" t="s">
        <v>41</v>
      </c>
      <c r="N3" s="5" t="s">
        <v>42</v>
      </c>
    </row>
    <row r="4" ht="78.0" customHeight="1">
      <c r="A4" s="6" t="s">
        <v>43</v>
      </c>
      <c r="B4" s="6" t="s">
        <v>44</v>
      </c>
      <c r="C4" s="6" t="s">
        <v>45</v>
      </c>
      <c r="D4" s="6" t="s">
        <v>46</v>
      </c>
      <c r="E4" s="6" t="s">
        <v>47</v>
      </c>
      <c r="F4" s="6" t="s">
        <v>48</v>
      </c>
      <c r="G4" s="6">
        <v>1.0</v>
      </c>
      <c r="H4" s="6" t="s">
        <v>49</v>
      </c>
      <c r="I4" s="6" t="s">
        <v>50</v>
      </c>
      <c r="J4" s="6" t="s">
        <v>48</v>
      </c>
      <c r="K4" s="6" t="s">
        <v>51</v>
      </c>
      <c r="L4" s="6" t="s">
        <v>52</v>
      </c>
      <c r="M4" s="6" t="s">
        <v>53</v>
      </c>
      <c r="N4" s="12" t="s">
        <v>54</v>
      </c>
    </row>
    <row r="5" ht="78.0" customHeight="1">
      <c r="A5" s="7" t="s">
        <v>55</v>
      </c>
      <c r="B5" s="7" t="s">
        <v>56</v>
      </c>
      <c r="C5" s="7" t="s">
        <v>57</v>
      </c>
      <c r="D5" s="7" t="s">
        <v>58</v>
      </c>
      <c r="E5" s="7" t="s">
        <v>59</v>
      </c>
      <c r="F5" s="7" t="s">
        <v>60</v>
      </c>
      <c r="G5" s="7">
        <v>1.0</v>
      </c>
      <c r="H5" s="7" t="s">
        <v>49</v>
      </c>
      <c r="I5" s="7" t="s">
        <v>61</v>
      </c>
      <c r="J5" s="7" t="s">
        <v>60</v>
      </c>
      <c r="K5" s="7" t="s">
        <v>51</v>
      </c>
      <c r="L5" s="7" t="s">
        <v>52</v>
      </c>
      <c r="M5" s="7" t="s">
        <v>62</v>
      </c>
      <c r="N5" s="13" t="s">
        <v>54</v>
      </c>
    </row>
    <row r="6" ht="78.0" customHeight="1">
      <c r="A6" s="6" t="s">
        <v>63</v>
      </c>
      <c r="B6" s="6" t="s">
        <v>64</v>
      </c>
      <c r="C6" s="6" t="s">
        <v>57</v>
      </c>
      <c r="D6" s="6" t="s">
        <v>65</v>
      </c>
      <c r="E6" s="6" t="s">
        <v>66</v>
      </c>
      <c r="F6" s="6" t="s">
        <v>67</v>
      </c>
      <c r="G6" s="6">
        <v>1.0</v>
      </c>
      <c r="H6" s="6" t="s">
        <v>49</v>
      </c>
      <c r="I6" s="6" t="s">
        <v>68</v>
      </c>
      <c r="J6" s="6" t="s">
        <v>67</v>
      </c>
      <c r="K6" s="6" t="s">
        <v>69</v>
      </c>
      <c r="L6" s="6" t="s">
        <v>52</v>
      </c>
      <c r="M6" s="6" t="s">
        <v>70</v>
      </c>
      <c r="N6" s="12" t="s">
        <v>54</v>
      </c>
    </row>
    <row r="7" ht="78.0" customHeight="1">
      <c r="A7" s="7" t="s">
        <v>71</v>
      </c>
      <c r="B7" s="7" t="s">
        <v>72</v>
      </c>
      <c r="C7" s="7" t="s">
        <v>45</v>
      </c>
      <c r="D7" s="7" t="s">
        <v>73</v>
      </c>
      <c r="E7" s="7" t="s">
        <v>74</v>
      </c>
      <c r="F7" s="7" t="s">
        <v>75</v>
      </c>
      <c r="G7" s="7">
        <v>1.0</v>
      </c>
      <c r="H7" s="7" t="s">
        <v>49</v>
      </c>
      <c r="I7" s="7" t="s">
        <v>76</v>
      </c>
      <c r="J7" s="7" t="s">
        <v>75</v>
      </c>
      <c r="K7" s="7" t="s">
        <v>51</v>
      </c>
      <c r="L7" s="7" t="s">
        <v>52</v>
      </c>
      <c r="M7" s="7" t="s">
        <v>77</v>
      </c>
      <c r="N7" s="13" t="s">
        <v>54</v>
      </c>
    </row>
    <row r="8" ht="78.0" customHeight="1">
      <c r="A8" s="6" t="s">
        <v>78</v>
      </c>
      <c r="B8" s="6" t="s">
        <v>79</v>
      </c>
      <c r="C8" s="6" t="s">
        <v>80</v>
      </c>
      <c r="D8" s="6" t="s">
        <v>81</v>
      </c>
      <c r="E8" s="6" t="s">
        <v>82</v>
      </c>
      <c r="F8" s="6" t="s">
        <v>83</v>
      </c>
      <c r="G8" s="6">
        <v>1.0</v>
      </c>
      <c r="H8" s="6" t="s">
        <v>49</v>
      </c>
      <c r="I8" s="6" t="s">
        <v>84</v>
      </c>
      <c r="J8" s="6" t="s">
        <v>83</v>
      </c>
      <c r="K8" s="6" t="s">
        <v>51</v>
      </c>
      <c r="L8" s="6" t="s">
        <v>52</v>
      </c>
      <c r="M8" s="6" t="s">
        <v>85</v>
      </c>
      <c r="N8" s="12" t="s">
        <v>54</v>
      </c>
    </row>
    <row r="9" ht="78.0" customHeight="1">
      <c r="A9" s="7" t="s">
        <v>86</v>
      </c>
      <c r="B9" s="7" t="s">
        <v>87</v>
      </c>
      <c r="C9" s="7" t="s">
        <v>57</v>
      </c>
      <c r="D9" s="7" t="s">
        <v>88</v>
      </c>
      <c r="E9" s="7" t="s">
        <v>89</v>
      </c>
      <c r="F9" s="7" t="s">
        <v>90</v>
      </c>
      <c r="G9" s="7">
        <v>1.0</v>
      </c>
      <c r="H9" s="7" t="s">
        <v>49</v>
      </c>
      <c r="I9" s="7" t="s">
        <v>91</v>
      </c>
      <c r="J9" s="7" t="s">
        <v>90</v>
      </c>
      <c r="K9" s="7" t="s">
        <v>51</v>
      </c>
      <c r="L9" s="7" t="s">
        <v>52</v>
      </c>
      <c r="M9" s="7" t="s">
        <v>92</v>
      </c>
      <c r="N9" s="13" t="s">
        <v>54</v>
      </c>
    </row>
    <row r="10" ht="78.0" customHeight="1">
      <c r="A10" s="6" t="s">
        <v>93</v>
      </c>
      <c r="B10" s="6" t="s">
        <v>94</v>
      </c>
      <c r="C10" s="6" t="s">
        <v>57</v>
      </c>
      <c r="D10" s="6" t="s">
        <v>95</v>
      </c>
      <c r="E10" s="6" t="s">
        <v>96</v>
      </c>
      <c r="F10" s="6" t="s">
        <v>97</v>
      </c>
      <c r="G10" s="6">
        <v>1.0</v>
      </c>
      <c r="H10" s="6" t="s">
        <v>49</v>
      </c>
      <c r="I10" s="6" t="s">
        <v>98</v>
      </c>
      <c r="J10" s="6" t="s">
        <v>97</v>
      </c>
      <c r="K10" s="6" t="s">
        <v>69</v>
      </c>
      <c r="L10" s="6" t="s">
        <v>52</v>
      </c>
      <c r="M10" s="6" t="s">
        <v>99</v>
      </c>
      <c r="N10" s="12" t="s">
        <v>54</v>
      </c>
    </row>
    <row r="11" ht="78.0" customHeight="1">
      <c r="A11" s="7" t="s">
        <v>100</v>
      </c>
      <c r="B11" s="7" t="s">
        <v>101</v>
      </c>
      <c r="C11" s="7" t="s">
        <v>57</v>
      </c>
      <c r="D11" s="7" t="s">
        <v>102</v>
      </c>
      <c r="E11" s="7" t="s">
        <v>103</v>
      </c>
      <c r="F11" s="7" t="s">
        <v>104</v>
      </c>
      <c r="G11" s="7">
        <v>1.0</v>
      </c>
      <c r="H11" s="7" t="s">
        <v>49</v>
      </c>
      <c r="I11" s="7" t="s">
        <v>105</v>
      </c>
      <c r="J11" s="7" t="s">
        <v>104</v>
      </c>
      <c r="K11" s="7" t="s">
        <v>106</v>
      </c>
      <c r="L11" s="7" t="s">
        <v>107</v>
      </c>
      <c r="M11" s="7" t="s">
        <v>108</v>
      </c>
      <c r="N11" s="13" t="s">
        <v>54</v>
      </c>
    </row>
    <row r="12" ht="78.0" customHeight="1">
      <c r="A12" s="6" t="s">
        <v>55</v>
      </c>
      <c r="B12" s="6" t="s">
        <v>109</v>
      </c>
      <c r="C12" s="6" t="s">
        <v>57</v>
      </c>
      <c r="D12" s="6" t="s">
        <v>110</v>
      </c>
      <c r="E12" s="6" t="s">
        <v>111</v>
      </c>
      <c r="F12" s="6" t="s">
        <v>112</v>
      </c>
      <c r="G12" s="6">
        <v>1.0</v>
      </c>
      <c r="H12" s="6" t="s">
        <v>49</v>
      </c>
      <c r="I12" s="6" t="s">
        <v>113</v>
      </c>
      <c r="J12" s="6" t="s">
        <v>112</v>
      </c>
      <c r="K12" s="6" t="s">
        <v>106</v>
      </c>
      <c r="L12" s="6" t="s">
        <v>52</v>
      </c>
      <c r="M12" s="6" t="s">
        <v>114</v>
      </c>
      <c r="N12" s="12" t="s">
        <v>54</v>
      </c>
    </row>
    <row r="13" ht="78.0" customHeight="1">
      <c r="A13" s="7" t="s">
        <v>115</v>
      </c>
      <c r="B13" s="7" t="s">
        <v>116</v>
      </c>
      <c r="C13" s="7" t="s">
        <v>117</v>
      </c>
      <c r="D13" s="7" t="s">
        <v>118</v>
      </c>
      <c r="E13" s="7" t="s">
        <v>119</v>
      </c>
      <c r="F13" s="7" t="s">
        <v>120</v>
      </c>
      <c r="G13" s="7">
        <v>1.0</v>
      </c>
      <c r="H13" s="7" t="s">
        <v>121</v>
      </c>
      <c r="I13" s="7" t="s">
        <v>122</v>
      </c>
      <c r="J13" s="7" t="s">
        <v>120</v>
      </c>
      <c r="K13" s="7" t="s">
        <v>123</v>
      </c>
      <c r="L13" s="7" t="s">
        <v>124</v>
      </c>
      <c r="M13" s="7" t="s">
        <v>125</v>
      </c>
      <c r="N13" s="13" t="s">
        <v>54</v>
      </c>
    </row>
    <row r="14" ht="78.0" customHeight="1">
      <c r="A14" s="6" t="s">
        <v>86</v>
      </c>
      <c r="B14" s="6" t="s">
        <v>126</v>
      </c>
      <c r="C14" s="6" t="s">
        <v>127</v>
      </c>
      <c r="D14" s="6" t="s">
        <v>128</v>
      </c>
      <c r="E14" s="6" t="s">
        <v>129</v>
      </c>
      <c r="F14" s="6" t="s">
        <v>130</v>
      </c>
      <c r="G14" s="6">
        <v>1.0</v>
      </c>
      <c r="H14" s="6" t="s">
        <v>121</v>
      </c>
      <c r="I14" s="6" t="s">
        <v>131</v>
      </c>
      <c r="J14" s="6" t="s">
        <v>130</v>
      </c>
      <c r="K14" s="6" t="s">
        <v>123</v>
      </c>
      <c r="L14" s="6" t="s">
        <v>124</v>
      </c>
      <c r="M14" s="6" t="s">
        <v>132</v>
      </c>
      <c r="N14" s="12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K4:K14">
    <cfRule type="containsText" dxfId="0" priority="1" operator="containsText" text="Alta">
      <formula>NOT(ISERROR(SEARCH(("Alta"),(K4))))</formula>
    </cfRule>
  </conditionalFormatting>
  <conditionalFormatting sqref="K4:K14">
    <cfRule type="containsText" dxfId="1" priority="2" operator="containsText" text="Media">
      <formula>NOT(ISERROR(SEARCH(("Media"),(K4))))</formula>
    </cfRule>
  </conditionalFormatting>
  <conditionalFormatting sqref="K4:K14">
    <cfRule type="containsText" dxfId="2" priority="3" operator="containsText" text="Baja">
      <formula>NOT(ISERROR(SEARCH(("Baja"),(K4))))</formula>
    </cfRule>
  </conditionalFormatting>
  <conditionalFormatting sqref="N4:N14">
    <cfRule type="containsText" dxfId="3" priority="4" operator="containsText" text="Pendiente">
      <formula>NOT(ISERROR(SEARCH(("Pendiente"),(N4))))</formula>
    </cfRule>
  </conditionalFormatting>
  <conditionalFormatting sqref="N4:N14">
    <cfRule type="containsText" dxfId="4" priority="5" operator="containsText" text="En curso">
      <formula>NOT(ISERROR(SEARCH(("En curso"),(N4))))</formula>
    </cfRule>
  </conditionalFormatting>
  <conditionalFormatting sqref="N4:N14">
    <cfRule type="containsText" dxfId="5" priority="6" operator="containsText" text="Bloqueado">
      <formula>NOT(ISERROR(SEARCH(("Bloqueado"),(N4))))</formula>
    </cfRule>
  </conditionalFormatting>
  <conditionalFormatting sqref="N4:N14">
    <cfRule type="containsText" dxfId="6" priority="7" operator="containsText" text="Terminado">
      <formula>NOT(ISERROR(SEARCH(("Terminado"),(N4))))</formula>
    </cfRule>
  </conditionalFormatting>
  <dataValidations>
    <dataValidation type="list" allowBlank="1" sqref="K4:K14">
      <formula1>"Alta,Media,Baja,Por definir"</formula1>
    </dataValidation>
    <dataValidation type="list" allowBlank="1" sqref="N4:N14">
      <formula1>"Pendiente,En curso,Bloqueado,Terminado"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0"/>
    <col customWidth="1" min="2" max="2" width="13.0"/>
    <col customWidth="1" min="3" max="3" width="39.0"/>
    <col customWidth="1" min="4" max="4" width="62.0"/>
    <col customWidth="1" min="5" max="5" width="26.0"/>
    <col customWidth="1" min="6" max="6" width="16.0"/>
    <col customWidth="1" min="7" max="7" width="18.0"/>
    <col customWidth="1" min="8" max="8" width="13.0"/>
    <col customWidth="1" min="9" max="9" width="25.0"/>
    <col customWidth="1" min="10" max="10" width="24.0"/>
    <col customWidth="1" min="11" max="11" width="17.0"/>
    <col customWidth="1" min="12" max="12" width="20.0"/>
    <col customWidth="1" min="13" max="13" width="22.0"/>
    <col customWidth="1" min="14" max="14" width="38.0"/>
    <col customWidth="1" min="15" max="26" width="8.63"/>
  </cols>
  <sheetData>
    <row r="1" ht="30.0" customHeight="1">
      <c r="A1" s="1" t="s">
        <v>133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2"/>
    </row>
    <row r="2" ht="33.75" customHeight="1">
      <c r="A2" s="3" t="s">
        <v>134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2"/>
    </row>
    <row r="3" ht="42.0" customHeight="1">
      <c r="A3" s="4" t="s">
        <v>135</v>
      </c>
      <c r="B3" s="11" t="s">
        <v>136</v>
      </c>
      <c r="C3" s="11" t="s">
        <v>137</v>
      </c>
      <c r="D3" s="11" t="s">
        <v>138</v>
      </c>
      <c r="E3" s="11" t="s">
        <v>41</v>
      </c>
      <c r="F3" s="11" t="s">
        <v>39</v>
      </c>
      <c r="G3" s="11" t="s">
        <v>42</v>
      </c>
      <c r="H3" s="11" t="s">
        <v>139</v>
      </c>
      <c r="I3" s="11" t="s">
        <v>12</v>
      </c>
      <c r="J3" s="11" t="s">
        <v>140</v>
      </c>
      <c r="K3" s="11" t="s">
        <v>141</v>
      </c>
      <c r="L3" s="11" t="s">
        <v>142</v>
      </c>
      <c r="M3" s="11" t="s">
        <v>143</v>
      </c>
      <c r="N3" s="5" t="s">
        <v>144</v>
      </c>
    </row>
    <row r="4" ht="78.0" customHeight="1">
      <c r="A4" s="6" t="s">
        <v>145</v>
      </c>
      <c r="B4" s="6" t="s">
        <v>146</v>
      </c>
      <c r="C4" s="6" t="s">
        <v>147</v>
      </c>
      <c r="D4" s="6" t="s">
        <v>148</v>
      </c>
      <c r="E4" s="6" t="s">
        <v>149</v>
      </c>
      <c r="F4" s="6" t="s">
        <v>51</v>
      </c>
      <c r="G4" s="12" t="s">
        <v>54</v>
      </c>
      <c r="H4" s="6" t="s">
        <v>150</v>
      </c>
      <c r="I4" s="6" t="s">
        <v>13</v>
      </c>
      <c r="J4" s="6"/>
      <c r="K4" s="14">
        <v>1.0</v>
      </c>
      <c r="L4" s="14">
        <v>2.0</v>
      </c>
      <c r="M4" s="6" t="s">
        <v>151</v>
      </c>
      <c r="N4" s="6"/>
    </row>
    <row r="5" ht="78.0" customHeight="1">
      <c r="A5" s="7" t="s">
        <v>44</v>
      </c>
      <c r="B5" s="7" t="s">
        <v>152</v>
      </c>
      <c r="C5" s="7" t="s">
        <v>153</v>
      </c>
      <c r="D5" s="7" t="s">
        <v>154</v>
      </c>
      <c r="E5" s="7" t="s">
        <v>53</v>
      </c>
      <c r="F5" s="7" t="s">
        <v>51</v>
      </c>
      <c r="G5" s="13" t="s">
        <v>54</v>
      </c>
      <c r="H5" s="7" t="s">
        <v>150</v>
      </c>
      <c r="I5" s="7" t="s">
        <v>13</v>
      </c>
      <c r="J5" s="7" t="s">
        <v>146</v>
      </c>
      <c r="K5" s="15">
        <v>3.0</v>
      </c>
      <c r="L5" s="15">
        <v>2.0</v>
      </c>
      <c r="M5" s="7" t="s">
        <v>155</v>
      </c>
      <c r="N5" s="7"/>
    </row>
    <row r="6" ht="78.0" customHeight="1">
      <c r="A6" s="6" t="s">
        <v>56</v>
      </c>
      <c r="B6" s="6" t="s">
        <v>156</v>
      </c>
      <c r="C6" s="6" t="s">
        <v>157</v>
      </c>
      <c r="D6" s="6" t="s">
        <v>158</v>
      </c>
      <c r="E6" s="6" t="s">
        <v>62</v>
      </c>
      <c r="F6" s="6" t="s">
        <v>51</v>
      </c>
      <c r="G6" s="12" t="s">
        <v>54</v>
      </c>
      <c r="H6" s="6" t="s">
        <v>150</v>
      </c>
      <c r="I6" s="6" t="s">
        <v>13</v>
      </c>
      <c r="J6" s="6" t="s">
        <v>146</v>
      </c>
      <c r="K6" s="14">
        <v>3.0</v>
      </c>
      <c r="L6" s="14">
        <v>2.0</v>
      </c>
      <c r="M6" s="6" t="s">
        <v>159</v>
      </c>
      <c r="N6" s="6"/>
    </row>
    <row r="7" ht="78.0" customHeight="1">
      <c r="A7" s="7" t="s">
        <v>64</v>
      </c>
      <c r="B7" s="7" t="s">
        <v>160</v>
      </c>
      <c r="C7" s="7" t="s">
        <v>161</v>
      </c>
      <c r="D7" s="7" t="s">
        <v>162</v>
      </c>
      <c r="E7" s="7" t="s">
        <v>70</v>
      </c>
      <c r="F7" s="7" t="s">
        <v>69</v>
      </c>
      <c r="G7" s="13" t="s">
        <v>54</v>
      </c>
      <c r="H7" s="7" t="s">
        <v>150</v>
      </c>
      <c r="I7" s="7" t="s">
        <v>13</v>
      </c>
      <c r="J7" s="7" t="s">
        <v>146</v>
      </c>
      <c r="K7" s="15">
        <v>5.0</v>
      </c>
      <c r="L7" s="15">
        <v>1.0</v>
      </c>
      <c r="M7" s="7" t="s">
        <v>163</v>
      </c>
      <c r="N7" s="7"/>
    </row>
    <row r="8" ht="78.0" customHeight="1">
      <c r="A8" s="6" t="s">
        <v>72</v>
      </c>
      <c r="B8" s="6" t="s">
        <v>164</v>
      </c>
      <c r="C8" s="6" t="s">
        <v>165</v>
      </c>
      <c r="D8" s="6" t="s">
        <v>166</v>
      </c>
      <c r="E8" s="6" t="s">
        <v>77</v>
      </c>
      <c r="F8" s="6" t="s">
        <v>51</v>
      </c>
      <c r="G8" s="12" t="s">
        <v>54</v>
      </c>
      <c r="H8" s="6" t="s">
        <v>167</v>
      </c>
      <c r="I8" s="6" t="s">
        <v>13</v>
      </c>
      <c r="J8" s="6" t="s">
        <v>152</v>
      </c>
      <c r="K8" s="14">
        <v>5.0</v>
      </c>
      <c r="L8" s="14">
        <v>1.0</v>
      </c>
      <c r="M8" s="6" t="s">
        <v>168</v>
      </c>
      <c r="N8" s="6"/>
    </row>
    <row r="9" ht="78.0" customHeight="1">
      <c r="A9" s="7" t="s">
        <v>79</v>
      </c>
      <c r="B9" s="7" t="s">
        <v>169</v>
      </c>
      <c r="C9" s="7" t="s">
        <v>170</v>
      </c>
      <c r="D9" s="7" t="s">
        <v>171</v>
      </c>
      <c r="E9" s="7" t="s">
        <v>85</v>
      </c>
      <c r="F9" s="7" t="s">
        <v>51</v>
      </c>
      <c r="G9" s="13" t="s">
        <v>54</v>
      </c>
      <c r="H9" s="7" t="s">
        <v>150</v>
      </c>
      <c r="I9" s="7" t="s">
        <v>13</v>
      </c>
      <c r="J9" s="7" t="s">
        <v>152</v>
      </c>
      <c r="K9" s="15">
        <v>6.0</v>
      </c>
      <c r="L9" s="15">
        <v>1.0</v>
      </c>
      <c r="M9" s="7" t="s">
        <v>172</v>
      </c>
      <c r="N9" s="7"/>
    </row>
    <row r="10" ht="78.0" customHeight="1">
      <c r="A10" s="6" t="s">
        <v>87</v>
      </c>
      <c r="B10" s="6" t="s">
        <v>173</v>
      </c>
      <c r="C10" s="6" t="s">
        <v>174</v>
      </c>
      <c r="D10" s="6" t="s">
        <v>175</v>
      </c>
      <c r="E10" s="6" t="s">
        <v>176</v>
      </c>
      <c r="F10" s="6" t="s">
        <v>51</v>
      </c>
      <c r="G10" s="12" t="s">
        <v>54</v>
      </c>
      <c r="H10" s="6" t="s">
        <v>167</v>
      </c>
      <c r="I10" s="6" t="s">
        <v>13</v>
      </c>
      <c r="J10" s="6" t="s">
        <v>152</v>
      </c>
      <c r="K10" s="14">
        <v>6.0</v>
      </c>
      <c r="L10" s="14">
        <v>1.0</v>
      </c>
      <c r="M10" s="6" t="s">
        <v>177</v>
      </c>
      <c r="N10" s="6"/>
    </row>
    <row r="11" ht="78.0" customHeight="1">
      <c r="A11" s="7" t="s">
        <v>94</v>
      </c>
      <c r="B11" s="7" t="s">
        <v>178</v>
      </c>
      <c r="C11" s="7" t="s">
        <v>179</v>
      </c>
      <c r="D11" s="7" t="s">
        <v>180</v>
      </c>
      <c r="E11" s="7" t="s">
        <v>99</v>
      </c>
      <c r="F11" s="7" t="s">
        <v>69</v>
      </c>
      <c r="G11" s="13" t="s">
        <v>54</v>
      </c>
      <c r="H11" s="7" t="s">
        <v>150</v>
      </c>
      <c r="I11" s="7" t="s">
        <v>13</v>
      </c>
      <c r="J11" s="7" t="s">
        <v>152</v>
      </c>
      <c r="K11" s="15">
        <v>7.0</v>
      </c>
      <c r="L11" s="15">
        <v>1.0</v>
      </c>
      <c r="M11" s="7" t="s">
        <v>181</v>
      </c>
      <c r="N11" s="7"/>
    </row>
    <row r="12" ht="78.0" customHeight="1">
      <c r="A12" s="6" t="s">
        <v>101</v>
      </c>
      <c r="B12" s="6" t="s">
        <v>182</v>
      </c>
      <c r="C12" s="6" t="s">
        <v>183</v>
      </c>
      <c r="D12" s="6" t="s">
        <v>184</v>
      </c>
      <c r="E12" s="6" t="s">
        <v>108</v>
      </c>
      <c r="F12" s="6" t="s">
        <v>106</v>
      </c>
      <c r="G12" s="12" t="s">
        <v>54</v>
      </c>
      <c r="H12" s="6" t="s">
        <v>167</v>
      </c>
      <c r="I12" s="6" t="s">
        <v>13</v>
      </c>
      <c r="J12" s="6" t="s">
        <v>146</v>
      </c>
      <c r="K12" s="14">
        <v>7.0</v>
      </c>
      <c r="L12" s="14">
        <v>1.0</v>
      </c>
      <c r="M12" s="6" t="s">
        <v>185</v>
      </c>
      <c r="N12" s="6" t="s">
        <v>186</v>
      </c>
    </row>
    <row r="13" ht="78.0" customHeight="1">
      <c r="A13" s="7" t="s">
        <v>109</v>
      </c>
      <c r="B13" s="7" t="s">
        <v>187</v>
      </c>
      <c r="C13" s="7" t="s">
        <v>188</v>
      </c>
      <c r="D13" s="7" t="s">
        <v>189</v>
      </c>
      <c r="E13" s="7" t="s">
        <v>114</v>
      </c>
      <c r="F13" s="7" t="s">
        <v>106</v>
      </c>
      <c r="G13" s="13" t="s">
        <v>54</v>
      </c>
      <c r="H13" s="7" t="s">
        <v>167</v>
      </c>
      <c r="I13" s="7" t="s">
        <v>13</v>
      </c>
      <c r="J13" s="7" t="s">
        <v>156</v>
      </c>
      <c r="K13" s="15">
        <v>8.0</v>
      </c>
      <c r="L13" s="15">
        <v>1.0</v>
      </c>
      <c r="M13" s="7" t="s">
        <v>190</v>
      </c>
      <c r="N13" s="7"/>
    </row>
    <row r="14" ht="78.0" customHeight="1">
      <c r="A14" s="6" t="s">
        <v>145</v>
      </c>
      <c r="B14" s="6" t="s">
        <v>191</v>
      </c>
      <c r="C14" s="6" t="s">
        <v>192</v>
      </c>
      <c r="D14" s="6" t="s">
        <v>193</v>
      </c>
      <c r="E14" s="6" t="s">
        <v>194</v>
      </c>
      <c r="F14" s="6" t="s">
        <v>51</v>
      </c>
      <c r="G14" s="12" t="s">
        <v>54</v>
      </c>
      <c r="H14" s="6" t="s">
        <v>150</v>
      </c>
      <c r="I14" s="6" t="s">
        <v>13</v>
      </c>
      <c r="J14" s="6" t="s">
        <v>195</v>
      </c>
      <c r="K14" s="14">
        <v>9.0</v>
      </c>
      <c r="L14" s="14">
        <v>2.0</v>
      </c>
      <c r="M14" s="6" t="s">
        <v>196</v>
      </c>
      <c r="N14" s="6"/>
    </row>
    <row r="15" ht="78.0" customHeight="1">
      <c r="A15" s="7" t="s">
        <v>145</v>
      </c>
      <c r="B15" s="7" t="s">
        <v>197</v>
      </c>
      <c r="C15" s="7" t="s">
        <v>198</v>
      </c>
      <c r="D15" s="7" t="s">
        <v>199</v>
      </c>
      <c r="E15" s="7" t="s">
        <v>200</v>
      </c>
      <c r="F15" s="7" t="s">
        <v>51</v>
      </c>
      <c r="G15" s="13" t="s">
        <v>54</v>
      </c>
      <c r="H15" s="7" t="s">
        <v>150</v>
      </c>
      <c r="I15" s="7" t="s">
        <v>13</v>
      </c>
      <c r="J15" s="7" t="s">
        <v>191</v>
      </c>
      <c r="K15" s="15">
        <v>11.0</v>
      </c>
      <c r="L15" s="15">
        <v>1.0</v>
      </c>
      <c r="M15" s="7" t="s">
        <v>151</v>
      </c>
      <c r="N15" s="7"/>
    </row>
    <row r="16" ht="78.0" customHeight="1">
      <c r="A16" s="6" t="s">
        <v>145</v>
      </c>
      <c r="B16" s="6" t="s">
        <v>201</v>
      </c>
      <c r="C16" s="6" t="s">
        <v>202</v>
      </c>
      <c r="D16" s="6" t="s">
        <v>203</v>
      </c>
      <c r="E16" s="6" t="s">
        <v>204</v>
      </c>
      <c r="F16" s="6" t="s">
        <v>51</v>
      </c>
      <c r="G16" s="12" t="s">
        <v>54</v>
      </c>
      <c r="H16" s="6" t="s">
        <v>150</v>
      </c>
      <c r="I16" s="6" t="s">
        <v>13</v>
      </c>
      <c r="J16" s="6" t="s">
        <v>205</v>
      </c>
      <c r="K16" s="14">
        <v>12.0</v>
      </c>
      <c r="L16" s="14">
        <v>2.0</v>
      </c>
      <c r="M16" s="6" t="s">
        <v>206</v>
      </c>
      <c r="N16" s="6"/>
    </row>
    <row r="17" ht="78.0" customHeight="1">
      <c r="A17" s="7" t="s">
        <v>145</v>
      </c>
      <c r="B17" s="7" t="s">
        <v>207</v>
      </c>
      <c r="C17" s="7" t="s">
        <v>208</v>
      </c>
      <c r="D17" s="7" t="s">
        <v>209</v>
      </c>
      <c r="E17" s="7" t="s">
        <v>210</v>
      </c>
      <c r="F17" s="7" t="s">
        <v>51</v>
      </c>
      <c r="G17" s="13" t="s">
        <v>54</v>
      </c>
      <c r="H17" s="7" t="s">
        <v>150</v>
      </c>
      <c r="I17" s="7" t="s">
        <v>13</v>
      </c>
      <c r="J17" s="7" t="s">
        <v>201</v>
      </c>
      <c r="K17" s="15">
        <v>14.0</v>
      </c>
      <c r="L17" s="15">
        <v>1.0</v>
      </c>
      <c r="M17" s="7" t="s">
        <v>151</v>
      </c>
      <c r="N1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F4:F17">
    <cfRule type="containsText" dxfId="0" priority="1" operator="containsText" text="Alta">
      <formula>NOT(ISERROR(SEARCH(("Alta"),(F4))))</formula>
    </cfRule>
  </conditionalFormatting>
  <conditionalFormatting sqref="F4:F17">
    <cfRule type="containsText" dxfId="1" priority="2" operator="containsText" text="Media">
      <formula>NOT(ISERROR(SEARCH(("Media"),(F4))))</formula>
    </cfRule>
  </conditionalFormatting>
  <conditionalFormatting sqref="F4:F17">
    <cfRule type="containsText" dxfId="2" priority="3" operator="containsText" text="Baja">
      <formula>NOT(ISERROR(SEARCH(("Baja"),(F4))))</formula>
    </cfRule>
  </conditionalFormatting>
  <conditionalFormatting sqref="G4:G17">
    <cfRule type="containsText" dxfId="3" priority="4" operator="containsText" text="Pendiente">
      <formula>NOT(ISERROR(SEARCH(("Pendiente"),(G4))))</formula>
    </cfRule>
  </conditionalFormatting>
  <conditionalFormatting sqref="G4:G17">
    <cfRule type="containsText" dxfId="4" priority="5" operator="containsText" text="En curso">
      <formula>NOT(ISERROR(SEARCH(("En curso"),(G4))))</formula>
    </cfRule>
  </conditionalFormatting>
  <conditionalFormatting sqref="G4:G17">
    <cfRule type="containsText" dxfId="5" priority="6" operator="containsText" text="Bloqueado">
      <formula>NOT(ISERROR(SEARCH(("Bloqueado"),(G4))))</formula>
    </cfRule>
  </conditionalFormatting>
  <conditionalFormatting sqref="G4:G17">
    <cfRule type="containsText" dxfId="6" priority="7" operator="containsText" text="Terminado">
      <formula>NOT(ISERROR(SEARCH(("Terminado"),(G4))))</formula>
    </cfRule>
  </conditionalFormatting>
  <dataValidations>
    <dataValidation type="list" allowBlank="1" sqref="F4:F17">
      <formula1>"Alta,Media,Baja,Por definir"</formula1>
    </dataValidation>
    <dataValidation type="list" allowBlank="1" sqref="G4:G17">
      <formula1>"Pendiente,En curso,Bloqueado,Terminado"</formula1>
    </dataValidation>
    <dataValidation type="list" allowBlank="1" sqref="H4:H17">
      <formula1>"XS,S,M,L,XL"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4.0"/>
    <col customWidth="1" min="2" max="7" width="19.0"/>
    <col customWidth="1" min="8" max="8" width="25.0"/>
    <col customWidth="1" min="9" max="9" width="62.0"/>
    <col customWidth="1" min="10" max="26" width="8.63"/>
  </cols>
  <sheetData>
    <row r="1" ht="30.0" customHeight="1">
      <c r="A1" s="1" t="s">
        <v>211</v>
      </c>
      <c r="B1" s="10"/>
      <c r="C1" s="10"/>
      <c r="D1" s="10"/>
      <c r="E1" s="10"/>
      <c r="F1" s="10"/>
      <c r="G1" s="10"/>
      <c r="H1" s="10"/>
      <c r="I1" s="2"/>
    </row>
    <row r="2" ht="33.75" customHeight="1">
      <c r="A2" s="3" t="s">
        <v>212</v>
      </c>
      <c r="B2" s="10"/>
      <c r="C2" s="10"/>
      <c r="D2" s="10"/>
      <c r="E2" s="10"/>
      <c r="F2" s="10"/>
      <c r="G2" s="10"/>
      <c r="H2" s="10"/>
      <c r="I2" s="2"/>
    </row>
    <row r="3" ht="42.0" customHeight="1">
      <c r="A3" s="4" t="s">
        <v>135</v>
      </c>
      <c r="B3" s="11" t="s">
        <v>213</v>
      </c>
      <c r="C3" s="11" t="s">
        <v>214</v>
      </c>
      <c r="D3" s="11" t="s">
        <v>215</v>
      </c>
      <c r="E3" s="11" t="s">
        <v>216</v>
      </c>
      <c r="F3" s="11" t="s">
        <v>217</v>
      </c>
      <c r="G3" s="11" t="s">
        <v>218</v>
      </c>
      <c r="H3" s="11" t="s">
        <v>219</v>
      </c>
      <c r="I3" s="5" t="s">
        <v>220</v>
      </c>
    </row>
    <row r="4" ht="48.0" customHeight="1">
      <c r="A4" s="6" t="s">
        <v>44</v>
      </c>
      <c r="B4" s="12" t="s">
        <v>221</v>
      </c>
      <c r="C4" s="12" t="s">
        <v>221</v>
      </c>
      <c r="D4" s="12" t="s">
        <v>221</v>
      </c>
      <c r="E4" s="12" t="s">
        <v>221</v>
      </c>
      <c r="F4" s="12" t="s">
        <v>221</v>
      </c>
      <c r="G4" s="12" t="s">
        <v>221</v>
      </c>
      <c r="H4" s="6" t="str">
        <f t="shared" ref="H4:H14" si="1">IF(COUNTIF(B4:G4,"No")&gt;0,"Refinar",IF(COUNTIF(B4:G4,"Sí")=6,"Cumple","Pendiente de revisión"))</f>
        <v>Cumple</v>
      </c>
      <c r="I4" s="6" t="s">
        <v>222</v>
      </c>
    </row>
    <row r="5" ht="48.0" customHeight="1">
      <c r="A5" s="7" t="s">
        <v>56</v>
      </c>
      <c r="B5" s="13" t="s">
        <v>221</v>
      </c>
      <c r="C5" s="13" t="s">
        <v>221</v>
      </c>
      <c r="D5" s="13" t="s">
        <v>221</v>
      </c>
      <c r="E5" s="13" t="s">
        <v>221</v>
      </c>
      <c r="F5" s="13" t="s">
        <v>221</v>
      </c>
      <c r="G5" s="13" t="s">
        <v>221</v>
      </c>
      <c r="H5" s="7" t="str">
        <f t="shared" si="1"/>
        <v>Cumple</v>
      </c>
      <c r="I5" s="7" t="s">
        <v>222</v>
      </c>
    </row>
    <row r="6" ht="48.0" customHeight="1">
      <c r="A6" s="6" t="s">
        <v>64</v>
      </c>
      <c r="B6" s="12" t="s">
        <v>221</v>
      </c>
      <c r="C6" s="12" t="s">
        <v>221</v>
      </c>
      <c r="D6" s="12" t="s">
        <v>221</v>
      </c>
      <c r="E6" s="12" t="s">
        <v>221</v>
      </c>
      <c r="F6" s="12" t="s">
        <v>221</v>
      </c>
      <c r="G6" s="12" t="s">
        <v>221</v>
      </c>
      <c r="H6" s="6" t="str">
        <f t="shared" si="1"/>
        <v>Cumple</v>
      </c>
      <c r="I6" s="6" t="s">
        <v>222</v>
      </c>
    </row>
    <row r="7" ht="48.0" customHeight="1">
      <c r="A7" s="7" t="s">
        <v>72</v>
      </c>
      <c r="B7" s="13" t="s">
        <v>221</v>
      </c>
      <c r="C7" s="13" t="s">
        <v>221</v>
      </c>
      <c r="D7" s="13" t="s">
        <v>221</v>
      </c>
      <c r="E7" s="13" t="s">
        <v>221</v>
      </c>
      <c r="F7" s="13" t="s">
        <v>221</v>
      </c>
      <c r="G7" s="13" t="s">
        <v>221</v>
      </c>
      <c r="H7" s="7" t="str">
        <f t="shared" si="1"/>
        <v>Cumple</v>
      </c>
      <c r="I7" s="7" t="s">
        <v>222</v>
      </c>
    </row>
    <row r="8" ht="48.0" customHeight="1">
      <c r="A8" s="6" t="s">
        <v>79</v>
      </c>
      <c r="B8" s="12" t="s">
        <v>221</v>
      </c>
      <c r="C8" s="12" t="s">
        <v>221</v>
      </c>
      <c r="D8" s="12" t="s">
        <v>221</v>
      </c>
      <c r="E8" s="12" t="s">
        <v>221</v>
      </c>
      <c r="F8" s="12" t="s">
        <v>221</v>
      </c>
      <c r="G8" s="12" t="s">
        <v>221</v>
      </c>
      <c r="H8" s="6" t="str">
        <f t="shared" si="1"/>
        <v>Cumple</v>
      </c>
      <c r="I8" s="6" t="s">
        <v>222</v>
      </c>
    </row>
    <row r="9" ht="48.0" customHeight="1">
      <c r="A9" s="7" t="s">
        <v>87</v>
      </c>
      <c r="B9" s="13" t="s">
        <v>221</v>
      </c>
      <c r="C9" s="13" t="s">
        <v>221</v>
      </c>
      <c r="D9" s="13" t="s">
        <v>221</v>
      </c>
      <c r="E9" s="13" t="s">
        <v>221</v>
      </c>
      <c r="F9" s="13" t="s">
        <v>221</v>
      </c>
      <c r="G9" s="13" t="s">
        <v>221</v>
      </c>
      <c r="H9" s="7" t="str">
        <f t="shared" si="1"/>
        <v>Cumple</v>
      </c>
      <c r="I9" s="7" t="s">
        <v>222</v>
      </c>
    </row>
    <row r="10" ht="48.0" customHeight="1">
      <c r="A10" s="6" t="s">
        <v>94</v>
      </c>
      <c r="B10" s="12" t="s">
        <v>221</v>
      </c>
      <c r="C10" s="12" t="s">
        <v>221</v>
      </c>
      <c r="D10" s="12" t="s">
        <v>221</v>
      </c>
      <c r="E10" s="12" t="s">
        <v>221</v>
      </c>
      <c r="F10" s="12" t="s">
        <v>221</v>
      </c>
      <c r="G10" s="12" t="s">
        <v>221</v>
      </c>
      <c r="H10" s="6" t="str">
        <f t="shared" si="1"/>
        <v>Cumple</v>
      </c>
      <c r="I10" s="6" t="s">
        <v>222</v>
      </c>
    </row>
    <row r="11" ht="48.0" customHeight="1">
      <c r="A11" s="7" t="s">
        <v>101</v>
      </c>
      <c r="B11" s="13" t="s">
        <v>221</v>
      </c>
      <c r="C11" s="13" t="s">
        <v>221</v>
      </c>
      <c r="D11" s="13" t="s">
        <v>221</v>
      </c>
      <c r="E11" s="13" t="s">
        <v>221</v>
      </c>
      <c r="F11" s="13" t="s">
        <v>221</v>
      </c>
      <c r="G11" s="13" t="s">
        <v>221</v>
      </c>
      <c r="H11" s="7" t="str">
        <f t="shared" si="1"/>
        <v>Cumple</v>
      </c>
      <c r="I11" s="7" t="s">
        <v>223</v>
      </c>
    </row>
    <row r="12" ht="48.0" customHeight="1">
      <c r="A12" s="6" t="s">
        <v>109</v>
      </c>
      <c r="B12" s="12" t="s">
        <v>221</v>
      </c>
      <c r="C12" s="12" t="s">
        <v>221</v>
      </c>
      <c r="D12" s="12" t="s">
        <v>221</v>
      </c>
      <c r="E12" s="12" t="s">
        <v>221</v>
      </c>
      <c r="F12" s="12" t="s">
        <v>221</v>
      </c>
      <c r="G12" s="12" t="s">
        <v>221</v>
      </c>
      <c r="H12" s="6" t="str">
        <f t="shared" si="1"/>
        <v>Cumple</v>
      </c>
      <c r="I12" s="6" t="s">
        <v>222</v>
      </c>
    </row>
    <row r="13" ht="48.0" customHeight="1">
      <c r="A13" s="7" t="s">
        <v>116</v>
      </c>
      <c r="B13" s="13" t="s">
        <v>221</v>
      </c>
      <c r="C13" s="13" t="s">
        <v>221</v>
      </c>
      <c r="D13" s="13" t="s">
        <v>221</v>
      </c>
      <c r="E13" s="13" t="s">
        <v>221</v>
      </c>
      <c r="F13" s="13" t="s">
        <v>221</v>
      </c>
      <c r="G13" s="13" t="s">
        <v>221</v>
      </c>
      <c r="H13" s="7" t="str">
        <f t="shared" si="1"/>
        <v>Cumple</v>
      </c>
      <c r="I13" s="7" t="s">
        <v>224</v>
      </c>
    </row>
    <row r="14" ht="48.0" customHeight="1">
      <c r="A14" s="6" t="s">
        <v>126</v>
      </c>
      <c r="B14" s="12" t="s">
        <v>221</v>
      </c>
      <c r="C14" s="12" t="s">
        <v>221</v>
      </c>
      <c r="D14" s="12" t="s">
        <v>221</v>
      </c>
      <c r="E14" s="12" t="s">
        <v>221</v>
      </c>
      <c r="F14" s="12" t="s">
        <v>221</v>
      </c>
      <c r="G14" s="12" t="s">
        <v>221</v>
      </c>
      <c r="H14" s="6" t="str">
        <f t="shared" si="1"/>
        <v>Cumple</v>
      </c>
      <c r="I14" s="6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list" allowBlank="1" sqref="B4:G14">
      <formula1>"Sí,No,Revisar"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24.0"/>
    <col customWidth="1" min="3" max="3" width="16.0"/>
    <col customWidth="1" min="4" max="4" width="25.0"/>
    <col customWidth="1" min="5" max="5" width="22.0"/>
    <col customWidth="1" min="6" max="6" width="65.0"/>
    <col customWidth="1" min="7" max="26" width="8.63"/>
  </cols>
  <sheetData>
    <row r="1" ht="30.0" customHeight="1">
      <c r="A1" s="1" t="s">
        <v>225</v>
      </c>
      <c r="B1" s="10"/>
      <c r="C1" s="10"/>
      <c r="D1" s="10"/>
      <c r="E1" s="10"/>
      <c r="F1" s="2"/>
    </row>
    <row r="2" ht="33.75" customHeight="1">
      <c r="A2" s="3" t="s">
        <v>226</v>
      </c>
      <c r="B2" s="10"/>
      <c r="C2" s="10"/>
      <c r="D2" s="10"/>
      <c r="E2" s="10"/>
      <c r="F2" s="2"/>
    </row>
    <row r="3" ht="42.0" customHeight="1">
      <c r="A3" s="4" t="s">
        <v>227</v>
      </c>
      <c r="B3" s="11" t="s">
        <v>135</v>
      </c>
      <c r="C3" s="11" t="s">
        <v>137</v>
      </c>
      <c r="D3" s="11" t="s">
        <v>143</v>
      </c>
      <c r="E3" s="11" t="s">
        <v>228</v>
      </c>
      <c r="F3" s="5" t="s">
        <v>229</v>
      </c>
    </row>
    <row r="4" ht="43.5" customHeight="1">
      <c r="A4" s="6" t="s">
        <v>230</v>
      </c>
      <c r="B4" s="6" t="s">
        <v>145</v>
      </c>
      <c r="C4" s="6" t="s">
        <v>146</v>
      </c>
      <c r="D4" s="6" t="s">
        <v>151</v>
      </c>
      <c r="E4" s="12" t="s">
        <v>231</v>
      </c>
      <c r="F4" s="6" t="str">
        <f>IF('Sprint 1'!N4="","",'Sprint 1'!N4)</f>
        <v/>
      </c>
    </row>
    <row r="5" ht="43.5" customHeight="1">
      <c r="A5" s="7" t="s">
        <v>210</v>
      </c>
      <c r="B5" s="7" t="s">
        <v>145</v>
      </c>
      <c r="C5" s="7" t="s">
        <v>146</v>
      </c>
      <c r="D5" s="7" t="s">
        <v>151</v>
      </c>
      <c r="E5" s="13" t="s">
        <v>231</v>
      </c>
      <c r="F5" s="7" t="str">
        <f>IF('Sprint 1'!N4="","",'Sprint 1'!N4)</f>
        <v/>
      </c>
    </row>
    <row r="6" ht="43.5" customHeight="1">
      <c r="A6" s="6" t="s">
        <v>232</v>
      </c>
      <c r="B6" s="6" t="s">
        <v>44</v>
      </c>
      <c r="C6" s="6" t="s">
        <v>152</v>
      </c>
      <c r="D6" s="6" t="s">
        <v>155</v>
      </c>
      <c r="E6" s="12" t="s">
        <v>231</v>
      </c>
      <c r="F6" s="6" t="str">
        <f>IF('Sprint 1'!N5="","",'Sprint 1'!N5)</f>
        <v/>
      </c>
    </row>
    <row r="7" ht="43.5" customHeight="1">
      <c r="A7" s="7" t="s">
        <v>233</v>
      </c>
      <c r="B7" s="7" t="s">
        <v>44</v>
      </c>
      <c r="C7" s="7" t="s">
        <v>152</v>
      </c>
      <c r="D7" s="7" t="s">
        <v>155</v>
      </c>
      <c r="E7" s="13" t="s">
        <v>231</v>
      </c>
      <c r="F7" s="7" t="str">
        <f>IF('Sprint 1'!N5="","",'Sprint 1'!N5)</f>
        <v/>
      </c>
    </row>
    <row r="8" ht="43.5" customHeight="1">
      <c r="A8" s="6" t="s">
        <v>234</v>
      </c>
      <c r="B8" s="6" t="s">
        <v>56</v>
      </c>
      <c r="C8" s="6" t="s">
        <v>156</v>
      </c>
      <c r="D8" s="6" t="s">
        <v>159</v>
      </c>
      <c r="E8" s="12" t="s">
        <v>231</v>
      </c>
      <c r="F8" s="6" t="str">
        <f>IF('Sprint 1'!N6="","",'Sprint 1'!N6)</f>
        <v/>
      </c>
    </row>
    <row r="9" ht="43.5" customHeight="1">
      <c r="A9" s="7" t="s">
        <v>235</v>
      </c>
      <c r="B9" s="7" t="s">
        <v>56</v>
      </c>
      <c r="C9" s="7" t="s">
        <v>156</v>
      </c>
      <c r="D9" s="7" t="s">
        <v>159</v>
      </c>
      <c r="E9" s="13" t="s">
        <v>231</v>
      </c>
      <c r="F9" s="7" t="str">
        <f>IF('Sprint 1'!N6="","",'Sprint 1'!N6)</f>
        <v/>
      </c>
    </row>
    <row r="10" ht="43.5" customHeight="1">
      <c r="A10" s="6" t="s">
        <v>70</v>
      </c>
      <c r="B10" s="6" t="s">
        <v>64</v>
      </c>
      <c r="C10" s="6" t="s">
        <v>160</v>
      </c>
      <c r="D10" s="6" t="s">
        <v>163</v>
      </c>
      <c r="E10" s="12" t="s">
        <v>231</v>
      </c>
      <c r="F10" s="6" t="str">
        <f>IF('Sprint 1'!N7="","",'Sprint 1'!N7)</f>
        <v/>
      </c>
    </row>
    <row r="11" ht="43.5" customHeight="1">
      <c r="A11" s="7" t="s">
        <v>236</v>
      </c>
      <c r="B11" s="7" t="s">
        <v>72</v>
      </c>
      <c r="C11" s="7" t="s">
        <v>164</v>
      </c>
      <c r="D11" s="7" t="s">
        <v>168</v>
      </c>
      <c r="E11" s="7" t="str">
        <f>'Sprint 1'!G8</f>
        <v>Terminado</v>
      </c>
      <c r="F11" s="7" t="str">
        <f>IF('Sprint 1'!N8="","",'Sprint 1'!N8)</f>
        <v/>
      </c>
    </row>
    <row r="12" ht="43.5" customHeight="1">
      <c r="A12" s="6" t="s">
        <v>237</v>
      </c>
      <c r="B12" s="6" t="s">
        <v>72</v>
      </c>
      <c r="C12" s="6" t="s">
        <v>164</v>
      </c>
      <c r="D12" s="6" t="s">
        <v>168</v>
      </c>
      <c r="E12" s="12" t="s">
        <v>231</v>
      </c>
      <c r="F12" s="6" t="str">
        <f>IF('Sprint 1'!N8="","",'Sprint 1'!N8)</f>
        <v/>
      </c>
    </row>
    <row r="13" ht="43.5" customHeight="1">
      <c r="A13" s="7" t="s">
        <v>85</v>
      </c>
      <c r="B13" s="7" t="s">
        <v>79</v>
      </c>
      <c r="C13" s="7" t="s">
        <v>169</v>
      </c>
      <c r="D13" s="7" t="s">
        <v>172</v>
      </c>
      <c r="E13" s="13" t="s">
        <v>231</v>
      </c>
      <c r="F13" s="7" t="str">
        <f>IF('Sprint 1'!N9="","",'Sprint 1'!N9)</f>
        <v/>
      </c>
    </row>
    <row r="14" ht="43.5" customHeight="1">
      <c r="A14" s="6" t="s">
        <v>92</v>
      </c>
      <c r="B14" s="6" t="s">
        <v>87</v>
      </c>
      <c r="C14" s="6" t="s">
        <v>173</v>
      </c>
      <c r="D14" s="6" t="s">
        <v>177</v>
      </c>
      <c r="E14" s="12" t="s">
        <v>231</v>
      </c>
      <c r="F14" s="6" t="str">
        <f>IF('Sprint 1'!N10="","",'Sprint 1'!N10)</f>
        <v/>
      </c>
    </row>
    <row r="15" ht="43.5" customHeight="1">
      <c r="A15" s="7" t="s">
        <v>238</v>
      </c>
      <c r="B15" s="7" t="s">
        <v>87</v>
      </c>
      <c r="C15" s="7" t="s">
        <v>173</v>
      </c>
      <c r="D15" s="7" t="s">
        <v>177</v>
      </c>
      <c r="E15" s="13" t="s">
        <v>231</v>
      </c>
      <c r="F15" s="7" t="str">
        <f>IF('Sprint 1'!N10="","",'Sprint 1'!N10)</f>
        <v/>
      </c>
    </row>
    <row r="16" ht="43.5" customHeight="1">
      <c r="A16" s="6" t="s">
        <v>99</v>
      </c>
      <c r="B16" s="6" t="s">
        <v>94</v>
      </c>
      <c r="C16" s="6" t="s">
        <v>178</v>
      </c>
      <c r="D16" s="6" t="s">
        <v>181</v>
      </c>
      <c r="E16" s="12" t="s">
        <v>231</v>
      </c>
      <c r="F16" s="6" t="str">
        <f>IF('Sprint 1'!N11="","",'Sprint 1'!N11)</f>
        <v/>
      </c>
    </row>
    <row r="17" ht="43.5" customHeight="1">
      <c r="A17" s="7" t="s">
        <v>108</v>
      </c>
      <c r="B17" s="7" t="s">
        <v>101</v>
      </c>
      <c r="C17" s="7" t="s">
        <v>182</v>
      </c>
      <c r="D17" s="7" t="s">
        <v>185</v>
      </c>
      <c r="E17" s="13" t="s">
        <v>231</v>
      </c>
      <c r="F17" s="7"/>
    </row>
    <row r="18" ht="43.5" customHeight="1">
      <c r="A18" s="6" t="s">
        <v>114</v>
      </c>
      <c r="B18" s="6" t="s">
        <v>109</v>
      </c>
      <c r="C18" s="6" t="s">
        <v>187</v>
      </c>
      <c r="D18" s="6" t="s">
        <v>190</v>
      </c>
      <c r="E18" s="12" t="s">
        <v>231</v>
      </c>
      <c r="F18" s="6" t="str">
        <f>IF('Sprint 1'!N13="","",'Sprint 1'!N13)</f>
        <v/>
      </c>
    </row>
    <row r="19" ht="43.5" customHeight="1">
      <c r="A19" s="7" t="s">
        <v>239</v>
      </c>
      <c r="B19" s="7" t="s">
        <v>145</v>
      </c>
      <c r="C19" s="7" t="s">
        <v>191</v>
      </c>
      <c r="D19" s="7" t="s">
        <v>196</v>
      </c>
      <c r="E19" s="13" t="s">
        <v>231</v>
      </c>
      <c r="F19" s="7" t="str">
        <f>IF('Sprint 1'!N14="","",'Sprint 1'!N14)</f>
        <v/>
      </c>
    </row>
    <row r="20" ht="43.5" customHeight="1">
      <c r="A20" s="6" t="s">
        <v>240</v>
      </c>
      <c r="B20" s="6" t="s">
        <v>145</v>
      </c>
      <c r="C20" s="6" t="s">
        <v>191</v>
      </c>
      <c r="D20" s="6" t="s">
        <v>196</v>
      </c>
      <c r="E20" s="12" t="s">
        <v>231</v>
      </c>
      <c r="F20" s="6" t="str">
        <f>IF('Sprint 1'!N14="","",'Sprint 1'!N14)</f>
        <v/>
      </c>
    </row>
    <row r="21" ht="43.5" customHeight="1">
      <c r="A21" s="7" t="s">
        <v>241</v>
      </c>
      <c r="B21" s="7" t="s">
        <v>145</v>
      </c>
      <c r="C21" s="7" t="s">
        <v>191</v>
      </c>
      <c r="D21" s="7" t="s">
        <v>196</v>
      </c>
      <c r="E21" s="13" t="s">
        <v>231</v>
      </c>
      <c r="F21" s="7" t="str">
        <f>IF('Sprint 1'!N14="","",'Sprint 1'!N14)</f>
        <v/>
      </c>
    </row>
    <row r="22" ht="43.5" customHeight="1">
      <c r="A22" s="6" t="s">
        <v>242</v>
      </c>
      <c r="B22" s="6" t="s">
        <v>145</v>
      </c>
      <c r="C22" s="6" t="s">
        <v>191</v>
      </c>
      <c r="D22" s="6" t="s">
        <v>196</v>
      </c>
      <c r="E22" s="12" t="s">
        <v>231</v>
      </c>
      <c r="F22" s="6" t="str">
        <f>IF('Sprint 1'!N14="","",'Sprint 1'!N14)</f>
        <v/>
      </c>
    </row>
    <row r="23" ht="43.5" customHeight="1">
      <c r="A23" s="7" t="s">
        <v>243</v>
      </c>
      <c r="B23" s="7" t="s">
        <v>145</v>
      </c>
      <c r="C23" s="7" t="s">
        <v>191</v>
      </c>
      <c r="D23" s="7" t="s">
        <v>196</v>
      </c>
      <c r="E23" s="13" t="s">
        <v>231</v>
      </c>
      <c r="F23" s="7" t="str">
        <f>IF('Sprint 1'!N14="","",'Sprint 1'!N14)</f>
        <v/>
      </c>
    </row>
    <row r="24" ht="43.5" customHeight="1">
      <c r="A24" s="6" t="s">
        <v>244</v>
      </c>
      <c r="B24" s="6" t="s">
        <v>145</v>
      </c>
      <c r="C24" s="6" t="s">
        <v>197</v>
      </c>
      <c r="D24" s="6" t="s">
        <v>151</v>
      </c>
      <c r="E24" s="12" t="s">
        <v>231</v>
      </c>
      <c r="F24" s="6" t="str">
        <f>IF('Sprint 1'!N15="","",'Sprint 1'!N15)</f>
        <v/>
      </c>
    </row>
    <row r="25" ht="43.5" customHeight="1">
      <c r="A25" s="7" t="s">
        <v>245</v>
      </c>
      <c r="B25" s="7" t="s">
        <v>145</v>
      </c>
      <c r="C25" s="7" t="s">
        <v>197</v>
      </c>
      <c r="D25" s="7" t="s">
        <v>151</v>
      </c>
      <c r="E25" s="13" t="s">
        <v>231</v>
      </c>
      <c r="F25" s="7" t="str">
        <f>IF('Sprint 1'!N15="","",'Sprint 1'!N15)</f>
        <v/>
      </c>
    </row>
    <row r="26" ht="43.5" customHeight="1">
      <c r="A26" s="6" t="s">
        <v>204</v>
      </c>
      <c r="B26" s="6" t="s">
        <v>145</v>
      </c>
      <c r="C26" s="6" t="s">
        <v>201</v>
      </c>
      <c r="D26" s="6" t="s">
        <v>206</v>
      </c>
      <c r="E26" s="12" t="s">
        <v>231</v>
      </c>
      <c r="F26" s="6" t="str">
        <f>IF('Sprint 1'!N16="","",'Sprint 1'!N16)</f>
        <v/>
      </c>
    </row>
    <row r="27" ht="43.5" customHeight="1">
      <c r="A27" s="7" t="s">
        <v>210</v>
      </c>
      <c r="B27" s="7" t="s">
        <v>145</v>
      </c>
      <c r="C27" s="7" t="s">
        <v>207</v>
      </c>
      <c r="D27" s="7" t="s">
        <v>151</v>
      </c>
      <c r="E27" s="13" t="s">
        <v>231</v>
      </c>
      <c r="F27" s="7" t="str">
        <f>IF('Sprint 1'!N17="","",'Sprint 1'!N17)</f>
        <v/>
      </c>
    </row>
    <row r="28" ht="43.5" customHeight="1">
      <c r="A28" s="6" t="s">
        <v>125</v>
      </c>
      <c r="B28" s="6" t="s">
        <v>116</v>
      </c>
      <c r="C28" s="6" t="s">
        <v>123</v>
      </c>
      <c r="D28" s="6" t="s">
        <v>123</v>
      </c>
      <c r="E28" s="6"/>
      <c r="F28" s="6" t="s">
        <v>246</v>
      </c>
    </row>
    <row r="29" ht="43.5" customHeight="1">
      <c r="A29" s="7" t="s">
        <v>132</v>
      </c>
      <c r="B29" s="7" t="s">
        <v>126</v>
      </c>
      <c r="C29" s="7" t="s">
        <v>123</v>
      </c>
      <c r="D29" s="7" t="s">
        <v>123</v>
      </c>
      <c r="E29" s="7"/>
      <c r="F29" s="7" t="s">
        <v>246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42.0"/>
    <col customWidth="1" min="3" max="3" width="18.0"/>
    <col customWidth="1" min="4" max="4" width="17.0"/>
    <col customWidth="1" min="5" max="5" width="15.0"/>
    <col customWidth="1" min="6" max="6" width="17.0"/>
    <col customWidth="1" min="7" max="20" width="9.0"/>
    <col customWidth="1" min="21" max="26" width="8.63"/>
  </cols>
  <sheetData>
    <row r="1" ht="30.0" customHeight="1">
      <c r="A1" s="1" t="s">
        <v>247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2"/>
    </row>
    <row r="2" ht="33.75" customHeight="1">
      <c r="A2" s="3" t="s">
        <v>248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2"/>
    </row>
    <row r="3" ht="42.0" customHeight="1">
      <c r="A3" s="4" t="s">
        <v>249</v>
      </c>
      <c r="B3" s="11" t="s">
        <v>137</v>
      </c>
      <c r="C3" s="11" t="s">
        <v>42</v>
      </c>
      <c r="D3" s="11" t="s">
        <v>141</v>
      </c>
      <c r="E3" s="11" t="s">
        <v>250</v>
      </c>
      <c r="F3" s="11" t="s">
        <v>251</v>
      </c>
      <c r="G3" s="11" t="s">
        <v>252</v>
      </c>
      <c r="H3" s="11" t="s">
        <v>253</v>
      </c>
      <c r="I3" s="11" t="s">
        <v>254</v>
      </c>
      <c r="J3" s="11" t="s">
        <v>255</v>
      </c>
      <c r="K3" s="11" t="s">
        <v>256</v>
      </c>
      <c r="L3" s="11" t="s">
        <v>257</v>
      </c>
      <c r="M3" s="11" t="s">
        <v>258</v>
      </c>
      <c r="N3" s="11" t="s">
        <v>259</v>
      </c>
      <c r="O3" s="11" t="s">
        <v>260</v>
      </c>
      <c r="P3" s="11" t="s">
        <v>261</v>
      </c>
      <c r="Q3" s="11" t="s">
        <v>262</v>
      </c>
      <c r="R3" s="11" t="s">
        <v>263</v>
      </c>
      <c r="S3" s="11" t="s">
        <v>264</v>
      </c>
      <c r="T3" s="5" t="s">
        <v>265</v>
      </c>
    </row>
    <row r="4" ht="48.0" customHeight="1">
      <c r="A4" s="6" t="s">
        <v>146</v>
      </c>
      <c r="B4" s="6" t="s">
        <v>147</v>
      </c>
      <c r="C4" s="12" t="s">
        <v>231</v>
      </c>
      <c r="D4" s="14">
        <f>IF('Sprint 1'!K4="","",'Sprint 1'!K4)</f>
        <v>1</v>
      </c>
      <c r="E4" s="14">
        <f>IF('Sprint 1'!L4="","",'Sprint 1'!L4)</f>
        <v>2</v>
      </c>
      <c r="F4" s="14">
        <f t="shared" ref="F4:F17" si="1">IF(OR(D4="",E4=""),"",D4+E4-1)</f>
        <v>2</v>
      </c>
      <c r="G4" s="16">
        <f t="shared" ref="G4:G17" si="2">IF(OR($D4="",$E4=""),"",IF(AND(1&gt;=$D4,1&lt;=$F4),1,""))</f>
        <v>1</v>
      </c>
      <c r="H4" s="16">
        <f t="shared" ref="H4:H17" si="3">IF(OR($D4="",$E4=""),"",IF(AND(2&gt;=$D4,2&lt;=$F4),1,""))</f>
        <v>1</v>
      </c>
      <c r="I4" s="16" t="str">
        <f t="shared" ref="I4:I17" si="4">IF(OR($D4="",$E4=""),"",IF(AND(3&gt;=$D4,3&lt;=$F4),1,""))</f>
        <v/>
      </c>
      <c r="J4" s="16" t="str">
        <f t="shared" ref="J4:J17" si="5">IF(OR($D4="",$E4=""),"",IF(AND(4&gt;=$D4,4&lt;=$F4),1,""))</f>
        <v/>
      </c>
      <c r="K4" s="16" t="str">
        <f t="shared" ref="K4:K17" si="6">IF(OR($D4="",$E4=""),"",IF(AND(5&gt;=$D4,5&lt;=$F4),1,""))</f>
        <v/>
      </c>
      <c r="L4" s="16" t="str">
        <f t="shared" ref="L4:L17" si="7">IF(OR($D4="",$E4=""),"",IF(AND(6&gt;=$D4,6&lt;=$F4),1,""))</f>
        <v/>
      </c>
      <c r="M4" s="16" t="str">
        <f t="shared" ref="M4:M17" si="8">IF(OR($D4="",$E4=""),"",IF(AND(7&gt;=$D4,7&lt;=$F4),1,""))</f>
        <v/>
      </c>
      <c r="N4" s="16" t="str">
        <f t="shared" ref="N4:N17" si="9">IF(OR($D4="",$E4=""),"",IF(AND(8&gt;=$D4,8&lt;=$F4),1,""))</f>
        <v/>
      </c>
      <c r="O4" s="16" t="str">
        <f t="shared" ref="O4:O17" si="10">IF(OR($D4="",$E4=""),"",IF(AND(9&gt;=$D4,9&lt;=$F4),1,""))</f>
        <v/>
      </c>
      <c r="P4" s="16" t="str">
        <f t="shared" ref="P4:P17" si="11">IF(OR($D4="",$E4=""),"",IF(AND(10&gt;=$D4,10&lt;=$F4),1,""))</f>
        <v/>
      </c>
      <c r="Q4" s="16" t="str">
        <f t="shared" ref="Q4:Q17" si="12">IF(OR($D4="",$E4=""),"",IF(AND(11&gt;=$D4,11&lt;=$F4),1,""))</f>
        <v/>
      </c>
      <c r="R4" s="16" t="str">
        <f t="shared" ref="R4:R17" si="13">IF(OR($D4="",$E4=""),"",IF(AND(12&gt;=$D4,12&lt;=$F4),1,""))</f>
        <v/>
      </c>
      <c r="S4" s="16" t="str">
        <f t="shared" ref="S4:S17" si="14">IF(OR($D4="",$E4=""),"",IF(AND(13&gt;=$D4,13&lt;=$F4),1,""))</f>
        <v/>
      </c>
      <c r="T4" s="16" t="str">
        <f t="shared" ref="T4:T17" si="15">IF(OR($D4="",$E4=""),"",IF(AND(14&gt;=$D4,14&lt;=$F4),1,""))</f>
        <v/>
      </c>
    </row>
    <row r="5" ht="48.0" customHeight="1">
      <c r="A5" s="7" t="s">
        <v>152</v>
      </c>
      <c r="B5" s="7" t="s">
        <v>153</v>
      </c>
      <c r="C5" s="13" t="s">
        <v>231</v>
      </c>
      <c r="D5" s="15">
        <f>IF('Sprint 1'!K5="","",'Sprint 1'!K5)</f>
        <v>3</v>
      </c>
      <c r="E5" s="15">
        <f>IF('Sprint 1'!L5="","",'Sprint 1'!L5)</f>
        <v>2</v>
      </c>
      <c r="F5" s="15">
        <f t="shared" si="1"/>
        <v>4</v>
      </c>
      <c r="G5" s="17" t="str">
        <f t="shared" si="2"/>
        <v/>
      </c>
      <c r="H5" s="17" t="str">
        <f t="shared" si="3"/>
        <v/>
      </c>
      <c r="I5" s="17">
        <f t="shared" si="4"/>
        <v>1</v>
      </c>
      <c r="J5" s="17">
        <f t="shared" si="5"/>
        <v>1</v>
      </c>
      <c r="K5" s="17" t="str">
        <f t="shared" si="6"/>
        <v/>
      </c>
      <c r="L5" s="17" t="str">
        <f t="shared" si="7"/>
        <v/>
      </c>
      <c r="M5" s="17" t="str">
        <f t="shared" si="8"/>
        <v/>
      </c>
      <c r="N5" s="17" t="str">
        <f t="shared" si="9"/>
        <v/>
      </c>
      <c r="O5" s="17" t="str">
        <f t="shared" si="10"/>
        <v/>
      </c>
      <c r="P5" s="17" t="str">
        <f t="shared" si="11"/>
        <v/>
      </c>
      <c r="Q5" s="17" t="str">
        <f t="shared" si="12"/>
        <v/>
      </c>
      <c r="R5" s="17" t="str">
        <f t="shared" si="13"/>
        <v/>
      </c>
      <c r="S5" s="17" t="str">
        <f t="shared" si="14"/>
        <v/>
      </c>
      <c r="T5" s="17" t="str">
        <f t="shared" si="15"/>
        <v/>
      </c>
    </row>
    <row r="6" ht="48.0" customHeight="1">
      <c r="A6" s="6" t="s">
        <v>156</v>
      </c>
      <c r="B6" s="6" t="s">
        <v>157</v>
      </c>
      <c r="C6" s="12" t="s">
        <v>231</v>
      </c>
      <c r="D6" s="14">
        <f>IF('Sprint 1'!K6="","",'Sprint 1'!K6)</f>
        <v>3</v>
      </c>
      <c r="E6" s="14">
        <f>IF('Sprint 1'!L6="","",'Sprint 1'!L6)</f>
        <v>2</v>
      </c>
      <c r="F6" s="14">
        <f t="shared" si="1"/>
        <v>4</v>
      </c>
      <c r="G6" s="16" t="str">
        <f t="shared" si="2"/>
        <v/>
      </c>
      <c r="H6" s="16" t="str">
        <f t="shared" si="3"/>
        <v/>
      </c>
      <c r="I6" s="16">
        <f t="shared" si="4"/>
        <v>1</v>
      </c>
      <c r="J6" s="16">
        <f t="shared" si="5"/>
        <v>1</v>
      </c>
      <c r="K6" s="16" t="str">
        <f t="shared" si="6"/>
        <v/>
      </c>
      <c r="L6" s="16" t="str">
        <f t="shared" si="7"/>
        <v/>
      </c>
      <c r="M6" s="16" t="str">
        <f t="shared" si="8"/>
        <v/>
      </c>
      <c r="N6" s="16" t="str">
        <f t="shared" si="9"/>
        <v/>
      </c>
      <c r="O6" s="16" t="str">
        <f t="shared" si="10"/>
        <v/>
      </c>
      <c r="P6" s="16" t="str">
        <f t="shared" si="11"/>
        <v/>
      </c>
      <c r="Q6" s="16" t="str">
        <f t="shared" si="12"/>
        <v/>
      </c>
      <c r="R6" s="16" t="str">
        <f t="shared" si="13"/>
        <v/>
      </c>
      <c r="S6" s="16" t="str">
        <f t="shared" si="14"/>
        <v/>
      </c>
      <c r="T6" s="16" t="str">
        <f t="shared" si="15"/>
        <v/>
      </c>
    </row>
    <row r="7" ht="48.0" customHeight="1">
      <c r="A7" s="7" t="s">
        <v>160</v>
      </c>
      <c r="B7" s="7" t="s">
        <v>161</v>
      </c>
      <c r="C7" s="13" t="s">
        <v>231</v>
      </c>
      <c r="D7" s="15">
        <f>IF('Sprint 1'!K7="","",'Sprint 1'!K7)</f>
        <v>5</v>
      </c>
      <c r="E7" s="15">
        <f>IF('Sprint 1'!L7="","",'Sprint 1'!L7)</f>
        <v>1</v>
      </c>
      <c r="F7" s="15">
        <f t="shared" si="1"/>
        <v>5</v>
      </c>
      <c r="G7" s="17" t="str">
        <f t="shared" si="2"/>
        <v/>
      </c>
      <c r="H7" s="17" t="str">
        <f t="shared" si="3"/>
        <v/>
      </c>
      <c r="I7" s="17" t="str">
        <f t="shared" si="4"/>
        <v/>
      </c>
      <c r="J7" s="17" t="str">
        <f t="shared" si="5"/>
        <v/>
      </c>
      <c r="K7" s="17">
        <f t="shared" si="6"/>
        <v>1</v>
      </c>
      <c r="L7" s="17" t="str">
        <f t="shared" si="7"/>
        <v/>
      </c>
      <c r="M7" s="17" t="str">
        <f t="shared" si="8"/>
        <v/>
      </c>
      <c r="N7" s="17" t="str">
        <f t="shared" si="9"/>
        <v/>
      </c>
      <c r="O7" s="17" t="str">
        <f t="shared" si="10"/>
        <v/>
      </c>
      <c r="P7" s="17" t="str">
        <f t="shared" si="11"/>
        <v/>
      </c>
      <c r="Q7" s="17" t="str">
        <f t="shared" si="12"/>
        <v/>
      </c>
      <c r="R7" s="17" t="str">
        <f t="shared" si="13"/>
        <v/>
      </c>
      <c r="S7" s="17" t="str">
        <f t="shared" si="14"/>
        <v/>
      </c>
      <c r="T7" s="17" t="str">
        <f t="shared" si="15"/>
        <v/>
      </c>
    </row>
    <row r="8" ht="48.0" customHeight="1">
      <c r="A8" s="6" t="s">
        <v>164</v>
      </c>
      <c r="B8" s="6" t="s">
        <v>165</v>
      </c>
      <c r="C8" s="12" t="s">
        <v>231</v>
      </c>
      <c r="D8" s="14">
        <f>IF('Sprint 1'!K8="","",'Sprint 1'!K8)</f>
        <v>5</v>
      </c>
      <c r="E8" s="14">
        <f>IF('Sprint 1'!L8="","",'Sprint 1'!L8)</f>
        <v>1</v>
      </c>
      <c r="F8" s="14">
        <f t="shared" si="1"/>
        <v>5</v>
      </c>
      <c r="G8" s="16" t="str">
        <f t="shared" si="2"/>
        <v/>
      </c>
      <c r="H8" s="16" t="str">
        <f t="shared" si="3"/>
        <v/>
      </c>
      <c r="I8" s="16" t="str">
        <f t="shared" si="4"/>
        <v/>
      </c>
      <c r="J8" s="16" t="str">
        <f t="shared" si="5"/>
        <v/>
      </c>
      <c r="K8" s="16">
        <f t="shared" si="6"/>
        <v>1</v>
      </c>
      <c r="L8" s="16" t="str">
        <f t="shared" si="7"/>
        <v/>
      </c>
      <c r="M8" s="16" t="str">
        <f t="shared" si="8"/>
        <v/>
      </c>
      <c r="N8" s="16" t="str">
        <f t="shared" si="9"/>
        <v/>
      </c>
      <c r="O8" s="16" t="str">
        <f t="shared" si="10"/>
        <v/>
      </c>
      <c r="P8" s="16" t="str">
        <f t="shared" si="11"/>
        <v/>
      </c>
      <c r="Q8" s="16" t="str">
        <f t="shared" si="12"/>
        <v/>
      </c>
      <c r="R8" s="16" t="str">
        <f t="shared" si="13"/>
        <v/>
      </c>
      <c r="S8" s="16" t="str">
        <f t="shared" si="14"/>
        <v/>
      </c>
      <c r="T8" s="16" t="str">
        <f t="shared" si="15"/>
        <v/>
      </c>
    </row>
    <row r="9" ht="48.0" customHeight="1">
      <c r="A9" s="7" t="s">
        <v>169</v>
      </c>
      <c r="B9" s="7" t="s">
        <v>170</v>
      </c>
      <c r="C9" s="13" t="s">
        <v>231</v>
      </c>
      <c r="D9" s="15">
        <f>IF('Sprint 1'!K9="","",'Sprint 1'!K9)</f>
        <v>6</v>
      </c>
      <c r="E9" s="15">
        <f>IF('Sprint 1'!L9="","",'Sprint 1'!L9)</f>
        <v>1</v>
      </c>
      <c r="F9" s="15">
        <f t="shared" si="1"/>
        <v>6</v>
      </c>
      <c r="G9" s="17" t="str">
        <f t="shared" si="2"/>
        <v/>
      </c>
      <c r="H9" s="17" t="str">
        <f t="shared" si="3"/>
        <v/>
      </c>
      <c r="I9" s="17" t="str">
        <f t="shared" si="4"/>
        <v/>
      </c>
      <c r="J9" s="17" t="str">
        <f t="shared" si="5"/>
        <v/>
      </c>
      <c r="K9" s="17" t="str">
        <f t="shared" si="6"/>
        <v/>
      </c>
      <c r="L9" s="17">
        <f t="shared" si="7"/>
        <v>1</v>
      </c>
      <c r="M9" s="17" t="str">
        <f t="shared" si="8"/>
        <v/>
      </c>
      <c r="N9" s="17" t="str">
        <f t="shared" si="9"/>
        <v/>
      </c>
      <c r="O9" s="17" t="str">
        <f t="shared" si="10"/>
        <v/>
      </c>
      <c r="P9" s="17" t="str">
        <f t="shared" si="11"/>
        <v/>
      </c>
      <c r="Q9" s="17" t="str">
        <f t="shared" si="12"/>
        <v/>
      </c>
      <c r="R9" s="17" t="str">
        <f t="shared" si="13"/>
        <v/>
      </c>
      <c r="S9" s="17" t="str">
        <f t="shared" si="14"/>
        <v/>
      </c>
      <c r="T9" s="17" t="str">
        <f t="shared" si="15"/>
        <v/>
      </c>
    </row>
    <row r="10" ht="48.0" customHeight="1">
      <c r="A10" s="6" t="s">
        <v>173</v>
      </c>
      <c r="B10" s="6" t="s">
        <v>174</v>
      </c>
      <c r="C10" s="12" t="s">
        <v>231</v>
      </c>
      <c r="D10" s="14">
        <f>IF('Sprint 1'!K10="","",'Sprint 1'!K10)</f>
        <v>6</v>
      </c>
      <c r="E10" s="14">
        <f>IF('Sprint 1'!L10="","",'Sprint 1'!L10)</f>
        <v>1</v>
      </c>
      <c r="F10" s="14">
        <f t="shared" si="1"/>
        <v>6</v>
      </c>
      <c r="G10" s="16" t="str">
        <f t="shared" si="2"/>
        <v/>
      </c>
      <c r="H10" s="16" t="str">
        <f t="shared" si="3"/>
        <v/>
      </c>
      <c r="I10" s="16" t="str">
        <f t="shared" si="4"/>
        <v/>
      </c>
      <c r="J10" s="16" t="str">
        <f t="shared" si="5"/>
        <v/>
      </c>
      <c r="K10" s="16" t="str">
        <f t="shared" si="6"/>
        <v/>
      </c>
      <c r="L10" s="16">
        <f t="shared" si="7"/>
        <v>1</v>
      </c>
      <c r="M10" s="16" t="str">
        <f t="shared" si="8"/>
        <v/>
      </c>
      <c r="N10" s="16" t="str">
        <f t="shared" si="9"/>
        <v/>
      </c>
      <c r="O10" s="16" t="str">
        <f t="shared" si="10"/>
        <v/>
      </c>
      <c r="P10" s="16" t="str">
        <f t="shared" si="11"/>
        <v/>
      </c>
      <c r="Q10" s="16" t="str">
        <f t="shared" si="12"/>
        <v/>
      </c>
      <c r="R10" s="16" t="str">
        <f t="shared" si="13"/>
        <v/>
      </c>
      <c r="S10" s="16" t="str">
        <f t="shared" si="14"/>
        <v/>
      </c>
      <c r="T10" s="16" t="str">
        <f t="shared" si="15"/>
        <v/>
      </c>
    </row>
    <row r="11" ht="48.0" customHeight="1">
      <c r="A11" s="7" t="s">
        <v>178</v>
      </c>
      <c r="B11" s="7" t="s">
        <v>179</v>
      </c>
      <c r="C11" s="13" t="s">
        <v>231</v>
      </c>
      <c r="D11" s="15">
        <f>IF('Sprint 1'!K11="","",'Sprint 1'!K11)</f>
        <v>7</v>
      </c>
      <c r="E11" s="15">
        <f>IF('Sprint 1'!L11="","",'Sprint 1'!L11)</f>
        <v>1</v>
      </c>
      <c r="F11" s="15">
        <f t="shared" si="1"/>
        <v>7</v>
      </c>
      <c r="G11" s="17" t="str">
        <f t="shared" si="2"/>
        <v/>
      </c>
      <c r="H11" s="17" t="str">
        <f t="shared" si="3"/>
        <v/>
      </c>
      <c r="I11" s="17" t="str">
        <f t="shared" si="4"/>
        <v/>
      </c>
      <c r="J11" s="17" t="str">
        <f t="shared" si="5"/>
        <v/>
      </c>
      <c r="K11" s="17" t="str">
        <f t="shared" si="6"/>
        <v/>
      </c>
      <c r="L11" s="17" t="str">
        <f t="shared" si="7"/>
        <v/>
      </c>
      <c r="M11" s="17">
        <f t="shared" si="8"/>
        <v>1</v>
      </c>
      <c r="N11" s="17" t="str">
        <f t="shared" si="9"/>
        <v/>
      </c>
      <c r="O11" s="17" t="str">
        <f t="shared" si="10"/>
        <v/>
      </c>
      <c r="P11" s="17" t="str">
        <f t="shared" si="11"/>
        <v/>
      </c>
      <c r="Q11" s="17" t="str">
        <f t="shared" si="12"/>
        <v/>
      </c>
      <c r="R11" s="17" t="str">
        <f t="shared" si="13"/>
        <v/>
      </c>
      <c r="S11" s="17" t="str">
        <f t="shared" si="14"/>
        <v/>
      </c>
      <c r="T11" s="17" t="str">
        <f t="shared" si="15"/>
        <v/>
      </c>
    </row>
    <row r="12" ht="48.0" customHeight="1">
      <c r="A12" s="6" t="s">
        <v>182</v>
      </c>
      <c r="B12" s="6" t="s">
        <v>183</v>
      </c>
      <c r="C12" s="12" t="s">
        <v>231</v>
      </c>
      <c r="D12" s="14">
        <f>IF('Sprint 1'!K12="","",'Sprint 1'!K12)</f>
        <v>7</v>
      </c>
      <c r="E12" s="14">
        <f>IF('Sprint 1'!L12="","",'Sprint 1'!L12)</f>
        <v>1</v>
      </c>
      <c r="F12" s="14">
        <f t="shared" si="1"/>
        <v>7</v>
      </c>
      <c r="G12" s="16" t="str">
        <f t="shared" si="2"/>
        <v/>
      </c>
      <c r="H12" s="16" t="str">
        <f t="shared" si="3"/>
        <v/>
      </c>
      <c r="I12" s="16" t="str">
        <f t="shared" si="4"/>
        <v/>
      </c>
      <c r="J12" s="16" t="str">
        <f t="shared" si="5"/>
        <v/>
      </c>
      <c r="K12" s="16" t="str">
        <f t="shared" si="6"/>
        <v/>
      </c>
      <c r="L12" s="16" t="str">
        <f t="shared" si="7"/>
        <v/>
      </c>
      <c r="M12" s="16">
        <f t="shared" si="8"/>
        <v>1</v>
      </c>
      <c r="N12" s="16" t="str">
        <f t="shared" si="9"/>
        <v/>
      </c>
      <c r="O12" s="16" t="str">
        <f t="shared" si="10"/>
        <v/>
      </c>
      <c r="P12" s="16" t="str">
        <f t="shared" si="11"/>
        <v/>
      </c>
      <c r="Q12" s="16" t="str">
        <f t="shared" si="12"/>
        <v/>
      </c>
      <c r="R12" s="16" t="str">
        <f t="shared" si="13"/>
        <v/>
      </c>
      <c r="S12" s="16" t="str">
        <f t="shared" si="14"/>
        <v/>
      </c>
      <c r="T12" s="16" t="str">
        <f t="shared" si="15"/>
        <v/>
      </c>
    </row>
    <row r="13" ht="48.0" customHeight="1">
      <c r="A13" s="7" t="s">
        <v>187</v>
      </c>
      <c r="B13" s="7" t="s">
        <v>188</v>
      </c>
      <c r="C13" s="13" t="s">
        <v>231</v>
      </c>
      <c r="D13" s="15">
        <f>IF('Sprint 1'!K13="","",'Sprint 1'!K13)</f>
        <v>8</v>
      </c>
      <c r="E13" s="15">
        <f>IF('Sprint 1'!L13="","",'Sprint 1'!L13)</f>
        <v>1</v>
      </c>
      <c r="F13" s="15">
        <f t="shared" si="1"/>
        <v>8</v>
      </c>
      <c r="G13" s="17" t="str">
        <f t="shared" si="2"/>
        <v/>
      </c>
      <c r="H13" s="17" t="str">
        <f t="shared" si="3"/>
        <v/>
      </c>
      <c r="I13" s="17" t="str">
        <f t="shared" si="4"/>
        <v/>
      </c>
      <c r="J13" s="17" t="str">
        <f t="shared" si="5"/>
        <v/>
      </c>
      <c r="K13" s="17" t="str">
        <f t="shared" si="6"/>
        <v/>
      </c>
      <c r="L13" s="17" t="str">
        <f t="shared" si="7"/>
        <v/>
      </c>
      <c r="M13" s="17" t="str">
        <f t="shared" si="8"/>
        <v/>
      </c>
      <c r="N13" s="17">
        <f t="shared" si="9"/>
        <v>1</v>
      </c>
      <c r="O13" s="17" t="str">
        <f t="shared" si="10"/>
        <v/>
      </c>
      <c r="P13" s="17" t="str">
        <f t="shared" si="11"/>
        <v/>
      </c>
      <c r="Q13" s="17" t="str">
        <f t="shared" si="12"/>
        <v/>
      </c>
      <c r="R13" s="17" t="str">
        <f t="shared" si="13"/>
        <v/>
      </c>
      <c r="S13" s="17" t="str">
        <f t="shared" si="14"/>
        <v/>
      </c>
      <c r="T13" s="17" t="str">
        <f t="shared" si="15"/>
        <v/>
      </c>
    </row>
    <row r="14" ht="48.0" customHeight="1">
      <c r="A14" s="6" t="s">
        <v>191</v>
      </c>
      <c r="B14" s="6" t="s">
        <v>192</v>
      </c>
      <c r="C14" s="12" t="s">
        <v>231</v>
      </c>
      <c r="D14" s="14">
        <f>IF('Sprint 1'!K14="","",'Sprint 1'!K14)</f>
        <v>9</v>
      </c>
      <c r="E14" s="14">
        <f>IF('Sprint 1'!L14="","",'Sprint 1'!L14)</f>
        <v>2</v>
      </c>
      <c r="F14" s="14">
        <f t="shared" si="1"/>
        <v>10</v>
      </c>
      <c r="G14" s="16" t="str">
        <f t="shared" si="2"/>
        <v/>
      </c>
      <c r="H14" s="16" t="str">
        <f t="shared" si="3"/>
        <v/>
      </c>
      <c r="I14" s="16" t="str">
        <f t="shared" si="4"/>
        <v/>
      </c>
      <c r="J14" s="16" t="str">
        <f t="shared" si="5"/>
        <v/>
      </c>
      <c r="K14" s="16" t="str">
        <f t="shared" si="6"/>
        <v/>
      </c>
      <c r="L14" s="16" t="str">
        <f t="shared" si="7"/>
        <v/>
      </c>
      <c r="M14" s="16" t="str">
        <f t="shared" si="8"/>
        <v/>
      </c>
      <c r="N14" s="16" t="str">
        <f t="shared" si="9"/>
        <v/>
      </c>
      <c r="O14" s="16">
        <f t="shared" si="10"/>
        <v>1</v>
      </c>
      <c r="P14" s="16">
        <f t="shared" si="11"/>
        <v>1</v>
      </c>
      <c r="Q14" s="16" t="str">
        <f t="shared" si="12"/>
        <v/>
      </c>
      <c r="R14" s="16" t="str">
        <f t="shared" si="13"/>
        <v/>
      </c>
      <c r="S14" s="16" t="str">
        <f t="shared" si="14"/>
        <v/>
      </c>
      <c r="T14" s="16" t="str">
        <f t="shared" si="15"/>
        <v/>
      </c>
    </row>
    <row r="15" ht="48.0" customHeight="1">
      <c r="A15" s="7" t="s">
        <v>197</v>
      </c>
      <c r="B15" s="7" t="s">
        <v>198</v>
      </c>
      <c r="C15" s="13" t="s">
        <v>231</v>
      </c>
      <c r="D15" s="15">
        <f>IF('Sprint 1'!K15="","",'Sprint 1'!K15)</f>
        <v>11</v>
      </c>
      <c r="E15" s="15">
        <f>IF('Sprint 1'!L15="","",'Sprint 1'!L15)</f>
        <v>1</v>
      </c>
      <c r="F15" s="15">
        <f t="shared" si="1"/>
        <v>11</v>
      </c>
      <c r="G15" s="17" t="str">
        <f t="shared" si="2"/>
        <v/>
      </c>
      <c r="H15" s="17" t="str">
        <f t="shared" si="3"/>
        <v/>
      </c>
      <c r="I15" s="17" t="str">
        <f t="shared" si="4"/>
        <v/>
      </c>
      <c r="J15" s="17" t="str">
        <f t="shared" si="5"/>
        <v/>
      </c>
      <c r="K15" s="17" t="str">
        <f t="shared" si="6"/>
        <v/>
      </c>
      <c r="L15" s="17" t="str">
        <f t="shared" si="7"/>
        <v/>
      </c>
      <c r="M15" s="17" t="str">
        <f t="shared" si="8"/>
        <v/>
      </c>
      <c r="N15" s="17" t="str">
        <f t="shared" si="9"/>
        <v/>
      </c>
      <c r="O15" s="17" t="str">
        <f t="shared" si="10"/>
        <v/>
      </c>
      <c r="P15" s="17" t="str">
        <f t="shared" si="11"/>
        <v/>
      </c>
      <c r="Q15" s="17">
        <f t="shared" si="12"/>
        <v>1</v>
      </c>
      <c r="R15" s="17" t="str">
        <f t="shared" si="13"/>
        <v/>
      </c>
      <c r="S15" s="17" t="str">
        <f t="shared" si="14"/>
        <v/>
      </c>
      <c r="T15" s="17" t="str">
        <f t="shared" si="15"/>
        <v/>
      </c>
    </row>
    <row r="16" ht="48.0" customHeight="1">
      <c r="A16" s="6" t="s">
        <v>201</v>
      </c>
      <c r="B16" s="6" t="s">
        <v>202</v>
      </c>
      <c r="C16" s="12" t="s">
        <v>231</v>
      </c>
      <c r="D16" s="14">
        <f>IF('Sprint 1'!K16="","",'Sprint 1'!K16)</f>
        <v>12</v>
      </c>
      <c r="E16" s="14">
        <f>IF('Sprint 1'!L16="","",'Sprint 1'!L16)</f>
        <v>2</v>
      </c>
      <c r="F16" s="14">
        <f t="shared" si="1"/>
        <v>13</v>
      </c>
      <c r="G16" s="16" t="str">
        <f t="shared" si="2"/>
        <v/>
      </c>
      <c r="H16" s="16" t="str">
        <f t="shared" si="3"/>
        <v/>
      </c>
      <c r="I16" s="16" t="str">
        <f t="shared" si="4"/>
        <v/>
      </c>
      <c r="J16" s="16" t="str">
        <f t="shared" si="5"/>
        <v/>
      </c>
      <c r="K16" s="16" t="str">
        <f t="shared" si="6"/>
        <v/>
      </c>
      <c r="L16" s="16" t="str">
        <f t="shared" si="7"/>
        <v/>
      </c>
      <c r="M16" s="16" t="str">
        <f t="shared" si="8"/>
        <v/>
      </c>
      <c r="N16" s="16" t="str">
        <f t="shared" si="9"/>
        <v/>
      </c>
      <c r="O16" s="16" t="str">
        <f t="shared" si="10"/>
        <v/>
      </c>
      <c r="P16" s="16" t="str">
        <f t="shared" si="11"/>
        <v/>
      </c>
      <c r="Q16" s="16" t="str">
        <f t="shared" si="12"/>
        <v/>
      </c>
      <c r="R16" s="16">
        <f t="shared" si="13"/>
        <v>1</v>
      </c>
      <c r="S16" s="16">
        <f t="shared" si="14"/>
        <v>1</v>
      </c>
      <c r="T16" s="16" t="str">
        <f t="shared" si="15"/>
        <v/>
      </c>
    </row>
    <row r="17" ht="48.0" customHeight="1">
      <c r="A17" s="7" t="s">
        <v>207</v>
      </c>
      <c r="B17" s="7" t="s">
        <v>208</v>
      </c>
      <c r="C17" s="13" t="s">
        <v>231</v>
      </c>
      <c r="D17" s="15">
        <f>IF('Sprint 1'!K17="","",'Sprint 1'!K17)</f>
        <v>14</v>
      </c>
      <c r="E17" s="15">
        <f>IF('Sprint 1'!L17="","",'Sprint 1'!L17)</f>
        <v>1</v>
      </c>
      <c r="F17" s="15">
        <f t="shared" si="1"/>
        <v>14</v>
      </c>
      <c r="G17" s="17" t="str">
        <f t="shared" si="2"/>
        <v/>
      </c>
      <c r="H17" s="17" t="str">
        <f t="shared" si="3"/>
        <v/>
      </c>
      <c r="I17" s="17" t="str">
        <f t="shared" si="4"/>
        <v/>
      </c>
      <c r="J17" s="17" t="str">
        <f t="shared" si="5"/>
        <v/>
      </c>
      <c r="K17" s="17" t="str">
        <f t="shared" si="6"/>
        <v/>
      </c>
      <c r="L17" s="17" t="str">
        <f t="shared" si="7"/>
        <v/>
      </c>
      <c r="M17" s="17" t="str">
        <f t="shared" si="8"/>
        <v/>
      </c>
      <c r="N17" s="17" t="str">
        <f t="shared" si="9"/>
        <v/>
      </c>
      <c r="O17" s="17" t="str">
        <f t="shared" si="10"/>
        <v/>
      </c>
      <c r="P17" s="17" t="str">
        <f t="shared" si="11"/>
        <v/>
      </c>
      <c r="Q17" s="17" t="str">
        <f t="shared" si="12"/>
        <v/>
      </c>
      <c r="R17" s="17" t="str">
        <f t="shared" si="13"/>
        <v/>
      </c>
      <c r="S17" s="17" t="str">
        <f t="shared" si="14"/>
        <v/>
      </c>
      <c r="T17" s="17">
        <f t="shared" si="15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A2:T2"/>
  </mergeCells>
  <conditionalFormatting sqref="G4:T17">
    <cfRule type="cellIs" dxfId="7" priority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29.0"/>
    <col customWidth="1" min="4" max="4" width="22.0"/>
    <col customWidth="1" min="5" max="5" width="27.0"/>
    <col customWidth="1" min="6" max="6" width="43.0"/>
    <col customWidth="1" min="7" max="7" width="36.0"/>
    <col customWidth="1" min="8" max="8" width="65.0"/>
    <col customWidth="1" min="9" max="9" width="64.0"/>
    <col customWidth="1" min="10" max="10" width="17.0"/>
    <col customWidth="1" min="11" max="11" width="16.0"/>
    <col customWidth="1" min="12" max="12" width="25.0"/>
    <col customWidth="1" min="13" max="13" width="38.0"/>
    <col customWidth="1" min="14" max="14" width="25.0"/>
    <col customWidth="1" min="15" max="15" width="20.0"/>
    <col customWidth="1" min="16" max="16" width="48.0"/>
    <col customWidth="1" min="17" max="26" width="8.63"/>
  </cols>
  <sheetData>
    <row r="1" ht="30.0" customHeight="1">
      <c r="A1" s="1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</row>
    <row r="2" ht="33.75" customHeight="1">
      <c r="A2" s="3" t="s">
        <v>267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2"/>
    </row>
    <row r="3" ht="42.0" customHeight="1">
      <c r="A3" s="4" t="s">
        <v>249</v>
      </c>
      <c r="B3" s="11" t="s">
        <v>268</v>
      </c>
      <c r="C3" s="11" t="s">
        <v>41</v>
      </c>
      <c r="D3" s="11" t="s">
        <v>135</v>
      </c>
      <c r="E3" s="11" t="s">
        <v>137</v>
      </c>
      <c r="F3" s="11" t="s">
        <v>269</v>
      </c>
      <c r="G3" s="11" t="s">
        <v>270</v>
      </c>
      <c r="H3" s="11" t="s">
        <v>271</v>
      </c>
      <c r="I3" s="11" t="s">
        <v>272</v>
      </c>
      <c r="J3" s="11" t="s">
        <v>42</v>
      </c>
      <c r="K3" s="11" t="s">
        <v>39</v>
      </c>
      <c r="L3" s="11" t="s">
        <v>273</v>
      </c>
      <c r="M3" s="11" t="s">
        <v>274</v>
      </c>
      <c r="N3" s="11" t="s">
        <v>275</v>
      </c>
      <c r="O3" s="11" t="s">
        <v>276</v>
      </c>
      <c r="P3" s="5" t="s">
        <v>277</v>
      </c>
    </row>
    <row r="4" ht="78.0" customHeight="1">
      <c r="A4" s="6" t="s">
        <v>155</v>
      </c>
      <c r="B4" s="6" t="s">
        <v>93</v>
      </c>
      <c r="C4" s="6" t="s">
        <v>53</v>
      </c>
      <c r="D4" s="6" t="s">
        <v>44</v>
      </c>
      <c r="E4" s="6" t="s">
        <v>152</v>
      </c>
      <c r="F4" s="6" t="s">
        <v>278</v>
      </c>
      <c r="G4" s="6" t="s">
        <v>279</v>
      </c>
      <c r="H4" s="6" t="s">
        <v>280</v>
      </c>
      <c r="I4" s="6" t="s">
        <v>281</v>
      </c>
      <c r="J4" s="12" t="s">
        <v>282</v>
      </c>
      <c r="K4" s="6" t="s">
        <v>51</v>
      </c>
      <c r="L4" s="6" t="s">
        <v>283</v>
      </c>
      <c r="M4" s="6"/>
      <c r="N4" s="6" t="s">
        <v>13</v>
      </c>
      <c r="O4" s="18"/>
      <c r="P4" s="6"/>
    </row>
    <row r="5" ht="78.0" customHeight="1">
      <c r="A5" s="7" t="s">
        <v>284</v>
      </c>
      <c r="B5" s="7" t="s">
        <v>285</v>
      </c>
      <c r="C5" s="7" t="s">
        <v>234</v>
      </c>
      <c r="D5" s="7" t="s">
        <v>56</v>
      </c>
      <c r="E5" s="7" t="s">
        <v>156</v>
      </c>
      <c r="F5" s="7" t="s">
        <v>286</v>
      </c>
      <c r="G5" s="7" t="s">
        <v>279</v>
      </c>
      <c r="H5" s="7" t="s">
        <v>287</v>
      </c>
      <c r="I5" s="7" t="s">
        <v>288</v>
      </c>
      <c r="J5" s="13" t="s">
        <v>282</v>
      </c>
      <c r="K5" s="7" t="s">
        <v>51</v>
      </c>
      <c r="L5" s="7" t="s">
        <v>283</v>
      </c>
      <c r="M5" s="7"/>
      <c r="N5" s="7" t="s">
        <v>13</v>
      </c>
      <c r="O5" s="19"/>
      <c r="P5" s="7"/>
    </row>
    <row r="6" ht="78.0" customHeight="1">
      <c r="A6" s="6" t="s">
        <v>289</v>
      </c>
      <c r="B6" s="6" t="s">
        <v>290</v>
      </c>
      <c r="C6" s="6" t="s">
        <v>235</v>
      </c>
      <c r="D6" s="6" t="s">
        <v>56</v>
      </c>
      <c r="E6" s="6" t="s">
        <v>156</v>
      </c>
      <c r="F6" s="6" t="s">
        <v>291</v>
      </c>
      <c r="G6" s="6" t="s">
        <v>279</v>
      </c>
      <c r="H6" s="6" t="s">
        <v>292</v>
      </c>
      <c r="I6" s="6" t="s">
        <v>293</v>
      </c>
      <c r="J6" s="12" t="s">
        <v>282</v>
      </c>
      <c r="K6" s="6" t="s">
        <v>51</v>
      </c>
      <c r="L6" s="6" t="s">
        <v>294</v>
      </c>
      <c r="M6" s="6"/>
      <c r="N6" s="6" t="s">
        <v>13</v>
      </c>
      <c r="O6" s="18"/>
      <c r="P6" s="6"/>
    </row>
    <row r="7" ht="78.0" customHeight="1">
      <c r="A7" s="7" t="s">
        <v>163</v>
      </c>
      <c r="B7" s="7" t="s">
        <v>295</v>
      </c>
      <c r="C7" s="7" t="s">
        <v>70</v>
      </c>
      <c r="D7" s="7" t="s">
        <v>64</v>
      </c>
      <c r="E7" s="7" t="s">
        <v>160</v>
      </c>
      <c r="F7" s="7" t="s">
        <v>296</v>
      </c>
      <c r="G7" s="7" t="s">
        <v>279</v>
      </c>
      <c r="H7" s="7" t="s">
        <v>297</v>
      </c>
      <c r="I7" s="7" t="s">
        <v>298</v>
      </c>
      <c r="J7" s="13" t="s">
        <v>282</v>
      </c>
      <c r="K7" s="7" t="s">
        <v>69</v>
      </c>
      <c r="L7" s="7" t="s">
        <v>283</v>
      </c>
      <c r="M7" s="7"/>
      <c r="N7" s="7" t="s">
        <v>13</v>
      </c>
      <c r="O7" s="19"/>
      <c r="P7" s="7"/>
    </row>
    <row r="8" ht="78.0" customHeight="1">
      <c r="A8" s="6" t="s">
        <v>181</v>
      </c>
      <c r="B8" s="6" t="s">
        <v>299</v>
      </c>
      <c r="C8" s="6" t="s">
        <v>99</v>
      </c>
      <c r="D8" s="6" t="s">
        <v>94</v>
      </c>
      <c r="E8" s="6" t="s">
        <v>178</v>
      </c>
      <c r="F8" s="6" t="s">
        <v>300</v>
      </c>
      <c r="G8" s="6" t="s">
        <v>279</v>
      </c>
      <c r="H8" s="6" t="s">
        <v>301</v>
      </c>
      <c r="I8" s="6" t="s">
        <v>302</v>
      </c>
      <c r="J8" s="12" t="s">
        <v>282</v>
      </c>
      <c r="K8" s="6" t="s">
        <v>69</v>
      </c>
      <c r="L8" s="6" t="s">
        <v>294</v>
      </c>
      <c r="M8" s="6"/>
      <c r="N8" s="6" t="s">
        <v>13</v>
      </c>
      <c r="O8" s="18"/>
      <c r="P8" s="6"/>
    </row>
    <row r="9" ht="78.0" customHeight="1">
      <c r="A9" s="7" t="s">
        <v>168</v>
      </c>
      <c r="B9" s="7" t="s">
        <v>71</v>
      </c>
      <c r="C9" s="7" t="s">
        <v>77</v>
      </c>
      <c r="D9" s="7" t="s">
        <v>72</v>
      </c>
      <c r="E9" s="7" t="s">
        <v>164</v>
      </c>
      <c r="F9" s="7" t="s">
        <v>303</v>
      </c>
      <c r="G9" s="7" t="s">
        <v>279</v>
      </c>
      <c r="H9" s="7" t="s">
        <v>304</v>
      </c>
      <c r="I9" s="7" t="s">
        <v>305</v>
      </c>
      <c r="J9" s="13" t="s">
        <v>282</v>
      </c>
      <c r="K9" s="7" t="s">
        <v>51</v>
      </c>
      <c r="L9" s="7" t="s">
        <v>306</v>
      </c>
      <c r="M9" s="7"/>
      <c r="N9" s="7" t="s">
        <v>13</v>
      </c>
      <c r="O9" s="19"/>
      <c r="P9" s="7"/>
    </row>
    <row r="10" ht="78.0" customHeight="1">
      <c r="A10" s="6" t="s">
        <v>172</v>
      </c>
      <c r="B10" s="6" t="s">
        <v>307</v>
      </c>
      <c r="C10" s="6" t="s">
        <v>308</v>
      </c>
      <c r="D10" s="6" t="s">
        <v>309</v>
      </c>
      <c r="E10" s="6" t="s">
        <v>310</v>
      </c>
      <c r="F10" s="6" t="s">
        <v>311</v>
      </c>
      <c r="G10" s="6" t="s">
        <v>279</v>
      </c>
      <c r="H10" s="6" t="s">
        <v>312</v>
      </c>
      <c r="I10" s="6" t="s">
        <v>313</v>
      </c>
      <c r="J10" s="12" t="s">
        <v>282</v>
      </c>
      <c r="K10" s="6" t="s">
        <v>51</v>
      </c>
      <c r="L10" s="6" t="s">
        <v>283</v>
      </c>
      <c r="M10" s="6"/>
      <c r="N10" s="6" t="s">
        <v>13</v>
      </c>
      <c r="O10" s="18"/>
      <c r="P10" s="6"/>
    </row>
    <row r="11" ht="78.0" customHeight="1">
      <c r="A11" s="7" t="s">
        <v>185</v>
      </c>
      <c r="B11" s="7" t="s">
        <v>314</v>
      </c>
      <c r="C11" s="7" t="s">
        <v>108</v>
      </c>
      <c r="D11" s="7" t="s">
        <v>101</v>
      </c>
      <c r="E11" s="7" t="s">
        <v>182</v>
      </c>
      <c r="F11" s="7" t="s">
        <v>315</v>
      </c>
      <c r="G11" s="7" t="s">
        <v>279</v>
      </c>
      <c r="H11" s="7" t="s">
        <v>316</v>
      </c>
      <c r="I11" s="7" t="s">
        <v>317</v>
      </c>
      <c r="J11" s="13" t="s">
        <v>282</v>
      </c>
      <c r="K11" s="7" t="s">
        <v>106</v>
      </c>
      <c r="L11" s="7" t="s">
        <v>318</v>
      </c>
      <c r="M11" s="7"/>
      <c r="N11" s="7" t="s">
        <v>13</v>
      </c>
      <c r="O11" s="19"/>
      <c r="P11" s="7"/>
    </row>
    <row r="12" ht="78.0" customHeight="1">
      <c r="A12" s="6" t="s">
        <v>190</v>
      </c>
      <c r="B12" s="6" t="s">
        <v>319</v>
      </c>
      <c r="C12" s="6" t="s">
        <v>114</v>
      </c>
      <c r="D12" s="6" t="s">
        <v>109</v>
      </c>
      <c r="E12" s="6" t="s">
        <v>187</v>
      </c>
      <c r="F12" s="6" t="s">
        <v>320</v>
      </c>
      <c r="G12" s="6" t="s">
        <v>279</v>
      </c>
      <c r="H12" s="6" t="s">
        <v>321</v>
      </c>
      <c r="I12" s="6" t="s">
        <v>322</v>
      </c>
      <c r="J12" s="12" t="s">
        <v>282</v>
      </c>
      <c r="K12" s="6" t="s">
        <v>106</v>
      </c>
      <c r="L12" s="6" t="s">
        <v>283</v>
      </c>
      <c r="M12" s="6"/>
      <c r="N12" s="6" t="s">
        <v>13</v>
      </c>
      <c r="O12" s="18"/>
      <c r="P1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K4:K12">
    <cfRule type="containsText" dxfId="0" priority="1" operator="containsText" text="Alta">
      <formula>NOT(ISERROR(SEARCH(("Alta"),(K4))))</formula>
    </cfRule>
  </conditionalFormatting>
  <conditionalFormatting sqref="K4:K12">
    <cfRule type="containsText" dxfId="1" priority="2" operator="containsText" text="Media">
      <formula>NOT(ISERROR(SEARCH(("Media"),(K4))))</formula>
    </cfRule>
  </conditionalFormatting>
  <conditionalFormatting sqref="K4:K12">
    <cfRule type="containsText" dxfId="2" priority="3" operator="containsText" text="Baja">
      <formula>NOT(ISERROR(SEARCH(("Baja"),(K4))))</formula>
    </cfRule>
  </conditionalFormatting>
  <conditionalFormatting sqref="J4:J12">
    <cfRule type="containsText" dxfId="2" priority="4" operator="containsText" text="NOT RUN">
      <formula>NOT(ISERROR(SEARCH(("NOT RUN"),(J4))))</formula>
    </cfRule>
  </conditionalFormatting>
  <conditionalFormatting sqref="J4:J12">
    <cfRule type="containsText" dxfId="0" priority="5" operator="containsText" text="PASS">
      <formula>NOT(ISERROR(SEARCH(("PASS"),(J4))))</formula>
    </cfRule>
  </conditionalFormatting>
  <conditionalFormatting sqref="J4:J12">
    <cfRule type="containsText" dxfId="8" priority="6" operator="containsText" text="FAIL">
      <formula>NOT(ISERROR(SEARCH(("FAIL"),(J4))))</formula>
    </cfRule>
  </conditionalFormatting>
  <conditionalFormatting sqref="J4:J12">
    <cfRule type="containsText" dxfId="1" priority="7" operator="containsText" text="BLOCKED">
      <formula>NOT(ISERROR(SEARCH(("BLOCKED"),(J4))))</formula>
    </cfRule>
  </conditionalFormatting>
  <dataValidations>
    <dataValidation type="list" allowBlank="1" sqref="K4:K12">
      <formula1>"Alta,Media,Baja,Por definir"</formula1>
    </dataValidation>
    <dataValidation type="list" allowBlank="1" sqref="J4:J12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29.0"/>
    <col customWidth="1" min="4" max="4" width="22.0"/>
    <col customWidth="1" min="5" max="5" width="27.0"/>
    <col customWidth="1" min="6" max="6" width="43.0"/>
    <col customWidth="1" min="7" max="7" width="36.0"/>
    <col customWidth="1" min="8" max="8" width="65.0"/>
    <col customWidth="1" min="9" max="9" width="64.0"/>
    <col customWidth="1" min="10" max="10" width="17.0"/>
    <col customWidth="1" min="11" max="11" width="16.0"/>
    <col customWidth="1" min="12" max="12" width="25.0"/>
    <col customWidth="1" min="13" max="13" width="38.0"/>
    <col customWidth="1" min="14" max="14" width="25.0"/>
    <col customWidth="1" min="15" max="15" width="20.0"/>
    <col customWidth="1" min="16" max="16" width="48.0"/>
    <col customWidth="1" min="17" max="26" width="8.63"/>
  </cols>
  <sheetData>
    <row r="1" ht="30.0" customHeight="1">
      <c r="A1" s="1" t="s">
        <v>323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</row>
    <row r="2" ht="33.75" customHeight="1">
      <c r="A2" s="3" t="s">
        <v>267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2"/>
    </row>
    <row r="3" ht="42.0" customHeight="1">
      <c r="A3" s="4" t="s">
        <v>249</v>
      </c>
      <c r="B3" s="11" t="s">
        <v>268</v>
      </c>
      <c r="C3" s="11" t="s">
        <v>41</v>
      </c>
      <c r="D3" s="11" t="s">
        <v>135</v>
      </c>
      <c r="E3" s="11" t="s">
        <v>137</v>
      </c>
      <c r="F3" s="11" t="s">
        <v>269</v>
      </c>
      <c r="G3" s="11" t="s">
        <v>270</v>
      </c>
      <c r="H3" s="11" t="s">
        <v>271</v>
      </c>
      <c r="I3" s="11" t="s">
        <v>272</v>
      </c>
      <c r="J3" s="11" t="s">
        <v>42</v>
      </c>
      <c r="K3" s="11" t="s">
        <v>39</v>
      </c>
      <c r="L3" s="11" t="s">
        <v>273</v>
      </c>
      <c r="M3" s="11" t="s">
        <v>274</v>
      </c>
      <c r="N3" s="11" t="s">
        <v>275</v>
      </c>
      <c r="O3" s="11" t="s">
        <v>276</v>
      </c>
      <c r="P3" s="5" t="s">
        <v>277</v>
      </c>
    </row>
    <row r="4" ht="78.0" customHeight="1">
      <c r="A4" s="6" t="s">
        <v>324</v>
      </c>
      <c r="B4" s="6" t="s">
        <v>325</v>
      </c>
      <c r="C4" s="6" t="s">
        <v>239</v>
      </c>
      <c r="D4" s="6" t="s">
        <v>56</v>
      </c>
      <c r="E4" s="6" t="s">
        <v>191</v>
      </c>
      <c r="F4" s="6" t="s">
        <v>326</v>
      </c>
      <c r="G4" s="6" t="s">
        <v>327</v>
      </c>
      <c r="H4" s="6" t="s">
        <v>328</v>
      </c>
      <c r="I4" s="6" t="s">
        <v>329</v>
      </c>
      <c r="J4" s="12" t="s">
        <v>282</v>
      </c>
      <c r="K4" s="6" t="s">
        <v>51</v>
      </c>
      <c r="L4" s="6" t="s">
        <v>330</v>
      </c>
      <c r="M4" s="6"/>
      <c r="N4" s="6" t="s">
        <v>13</v>
      </c>
      <c r="O4" s="18"/>
      <c r="P4" s="6"/>
    </row>
    <row r="5" ht="78.0" customHeight="1">
      <c r="A5" s="7" t="s">
        <v>331</v>
      </c>
      <c r="B5" s="7" t="s">
        <v>332</v>
      </c>
      <c r="C5" s="7" t="s">
        <v>333</v>
      </c>
      <c r="D5" s="7" t="s">
        <v>334</v>
      </c>
      <c r="E5" s="7" t="s">
        <v>191</v>
      </c>
      <c r="F5" s="7" t="s">
        <v>335</v>
      </c>
      <c r="G5" s="7" t="s">
        <v>279</v>
      </c>
      <c r="H5" s="7" t="s">
        <v>336</v>
      </c>
      <c r="I5" s="7" t="s">
        <v>337</v>
      </c>
      <c r="J5" s="13" t="s">
        <v>282</v>
      </c>
      <c r="K5" s="7" t="s">
        <v>51</v>
      </c>
      <c r="L5" s="7" t="s">
        <v>338</v>
      </c>
      <c r="M5" s="7"/>
      <c r="N5" s="7" t="s">
        <v>13</v>
      </c>
      <c r="O5" s="19"/>
      <c r="P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K4:K5">
    <cfRule type="containsText" dxfId="0" priority="1" operator="containsText" text="Alta">
      <formula>NOT(ISERROR(SEARCH(("Alta"),(K4))))</formula>
    </cfRule>
  </conditionalFormatting>
  <conditionalFormatting sqref="K4:K5">
    <cfRule type="containsText" dxfId="1" priority="2" operator="containsText" text="Media">
      <formula>NOT(ISERROR(SEARCH(("Media"),(K4))))</formula>
    </cfRule>
  </conditionalFormatting>
  <conditionalFormatting sqref="K4:K5">
    <cfRule type="containsText" dxfId="2" priority="3" operator="containsText" text="Baja">
      <formula>NOT(ISERROR(SEARCH(("Baja"),(K4))))</formula>
    </cfRule>
  </conditionalFormatting>
  <conditionalFormatting sqref="J4:J5">
    <cfRule type="containsText" dxfId="2" priority="4" operator="containsText" text="NOT RUN">
      <formula>NOT(ISERROR(SEARCH(("NOT RUN"),(J4))))</formula>
    </cfRule>
  </conditionalFormatting>
  <conditionalFormatting sqref="J4:J5">
    <cfRule type="containsText" dxfId="0" priority="5" operator="containsText" text="PASS">
      <formula>NOT(ISERROR(SEARCH(("PASS"),(J4))))</formula>
    </cfRule>
  </conditionalFormatting>
  <conditionalFormatting sqref="J4:J5">
    <cfRule type="containsText" dxfId="8" priority="6" operator="containsText" text="FAIL">
      <formula>NOT(ISERROR(SEARCH(("FAIL"),(J4))))</formula>
    </cfRule>
  </conditionalFormatting>
  <conditionalFormatting sqref="J4:J5">
    <cfRule type="containsText" dxfId="1" priority="7" operator="containsText" text="BLOCKED">
      <formula>NOT(ISERROR(SEARCH(("BLOCKED"),(J4))))</formula>
    </cfRule>
  </conditionalFormatting>
  <dataValidations>
    <dataValidation type="list" allowBlank="1" sqref="K4:K5">
      <formula1>"Alta,Media,Baja,Por definir"</formula1>
    </dataValidation>
    <dataValidation type="list" allowBlank="1" sqref="J4:J5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3.0"/>
    <col customWidth="1" min="2" max="2" width="28.0"/>
    <col customWidth="1" min="3" max="3" width="29.0"/>
    <col customWidth="1" min="4" max="4" width="22.0"/>
    <col customWidth="1" min="5" max="5" width="27.0"/>
    <col customWidth="1" min="6" max="6" width="43.0"/>
    <col customWidth="1" min="7" max="7" width="36.0"/>
    <col customWidth="1" min="8" max="8" width="65.0"/>
    <col customWidth="1" min="9" max="9" width="64.0"/>
    <col customWidth="1" min="10" max="10" width="17.0"/>
    <col customWidth="1" min="11" max="11" width="16.0"/>
    <col customWidth="1" min="12" max="12" width="25.0"/>
    <col customWidth="1" min="13" max="13" width="38.0"/>
    <col customWidth="1" min="14" max="14" width="25.0"/>
    <col customWidth="1" min="15" max="15" width="20.0"/>
    <col customWidth="1" min="16" max="16" width="48.0"/>
    <col customWidth="1" min="17" max="26" width="8.63"/>
  </cols>
  <sheetData>
    <row r="1" ht="30.0" customHeight="1">
      <c r="A1" s="1" t="s">
        <v>339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2"/>
    </row>
    <row r="2" ht="33.75" customHeight="1">
      <c r="A2" s="3" t="s">
        <v>267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2"/>
    </row>
    <row r="3" ht="42.0" customHeight="1">
      <c r="A3" s="4" t="s">
        <v>249</v>
      </c>
      <c r="B3" s="11" t="s">
        <v>268</v>
      </c>
      <c r="C3" s="11" t="s">
        <v>41</v>
      </c>
      <c r="D3" s="11" t="s">
        <v>135</v>
      </c>
      <c r="E3" s="11" t="s">
        <v>137</v>
      </c>
      <c r="F3" s="11" t="s">
        <v>269</v>
      </c>
      <c r="G3" s="11" t="s">
        <v>270</v>
      </c>
      <c r="H3" s="11" t="s">
        <v>271</v>
      </c>
      <c r="I3" s="11" t="s">
        <v>272</v>
      </c>
      <c r="J3" s="11" t="s">
        <v>42</v>
      </c>
      <c r="K3" s="11" t="s">
        <v>39</v>
      </c>
      <c r="L3" s="11" t="s">
        <v>273</v>
      </c>
      <c r="M3" s="11" t="s">
        <v>274</v>
      </c>
      <c r="N3" s="11" t="s">
        <v>275</v>
      </c>
      <c r="O3" s="11" t="s">
        <v>276</v>
      </c>
      <c r="P3" s="5" t="s">
        <v>277</v>
      </c>
    </row>
    <row r="4" ht="78.0" customHeight="1">
      <c r="A4" s="6" t="s">
        <v>151</v>
      </c>
      <c r="B4" s="6" t="s">
        <v>340</v>
      </c>
      <c r="C4" s="6" t="s">
        <v>341</v>
      </c>
      <c r="D4" s="6" t="s">
        <v>145</v>
      </c>
      <c r="E4" s="6" t="s">
        <v>342</v>
      </c>
      <c r="F4" s="6" t="s">
        <v>343</v>
      </c>
      <c r="G4" s="6" t="s">
        <v>279</v>
      </c>
      <c r="H4" s="6" t="s">
        <v>344</v>
      </c>
      <c r="I4" s="6" t="s">
        <v>345</v>
      </c>
      <c r="J4" s="12" t="s">
        <v>282</v>
      </c>
      <c r="K4" s="6" t="s">
        <v>51</v>
      </c>
      <c r="L4" s="6" t="s">
        <v>346</v>
      </c>
      <c r="M4" s="6"/>
      <c r="N4" s="6" t="s">
        <v>13</v>
      </c>
      <c r="O4" s="18"/>
      <c r="P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2:P2"/>
  </mergeCells>
  <conditionalFormatting sqref="K4">
    <cfRule type="containsText" dxfId="0" priority="1" operator="containsText" text="Alta">
      <formula>NOT(ISERROR(SEARCH(("Alta"),(K4))))</formula>
    </cfRule>
  </conditionalFormatting>
  <conditionalFormatting sqref="K4">
    <cfRule type="containsText" dxfId="1" priority="2" operator="containsText" text="Media">
      <formula>NOT(ISERROR(SEARCH(("Media"),(K4))))</formula>
    </cfRule>
  </conditionalFormatting>
  <conditionalFormatting sqref="K4">
    <cfRule type="containsText" dxfId="2" priority="3" operator="containsText" text="Baja">
      <formula>NOT(ISERROR(SEARCH(("Baja"),(K4))))</formula>
    </cfRule>
  </conditionalFormatting>
  <conditionalFormatting sqref="J4">
    <cfRule type="containsText" dxfId="2" priority="4" operator="containsText" text="NOT RUN">
      <formula>NOT(ISERROR(SEARCH(("NOT RUN"),(J4))))</formula>
    </cfRule>
  </conditionalFormatting>
  <conditionalFormatting sqref="J4">
    <cfRule type="containsText" dxfId="0" priority="5" operator="containsText" text="PASS">
      <formula>NOT(ISERROR(SEARCH(("PASS"),(J4))))</formula>
    </cfRule>
  </conditionalFormatting>
  <conditionalFormatting sqref="J4">
    <cfRule type="containsText" dxfId="8" priority="6" operator="containsText" text="FAIL">
      <formula>NOT(ISERROR(SEARCH(("FAIL"),(J4))))</formula>
    </cfRule>
  </conditionalFormatting>
  <conditionalFormatting sqref="J4">
    <cfRule type="containsText" dxfId="1" priority="7" operator="containsText" text="BLOCKED">
      <formula>NOT(ISERROR(SEARCH(("BLOCKED"),(J4))))</formula>
    </cfRule>
  </conditionalFormatting>
  <dataValidations>
    <dataValidation type="list" allowBlank="1" sqref="K4">
      <formula1>"Alta,Media,Baja,Por definir"</formula1>
    </dataValidation>
    <dataValidation type="list" allowBlank="1" sqref="J4">
      <formula1>"NOT RUN,PASS,FAIL,BLOCKED"</formula1>
    </dataValidation>
  </dataValidations>
  <printOptions/>
  <pageMargins bottom="0.75" footer="0.0" header="0.0" left="0.7" right="0.7" top="0.75"/>
  <pageSetup orientation="landscape"/>
  <drawing r:id="rId1"/>
</worksheet>
</file>